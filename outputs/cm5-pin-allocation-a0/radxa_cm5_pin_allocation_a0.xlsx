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77eb82f7a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34009b6c52444f"/>
    <x:sheet xmlns:r="http://schemas.openxmlformats.org/officeDocument/2006/relationships" name="Assignments" sheetId="2" r:id="R69d61ba89f5d4827"/>
    <x:sheet xmlns:r="http://schemas.openxmlformats.org/officeDocument/2006/relationships" name="Resource Map" sheetId="3" r:id="Rbf6da584f60e4dd7"/>
    <x:sheet xmlns:r="http://schemas.openxmlformats.org/officeDocument/2006/relationships" name="Control Allocation" sheetId="4" r:id="Rbd7c1c7691d44d31"/>
    <x:sheet xmlns:r="http://schemas.openxmlformats.org/officeDocument/2006/relationships" name="Conflicts" sheetId="5" r:id="R3d6b31d88f534e9e"/>
    <x:sheet xmlns:r="http://schemas.openxmlformats.org/officeDocument/2006/relationships" name="Source Rows" sheetId="6" r:id="Rea33a2f67a00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6579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b/>
      <x:sz val="14"/>
      <x:color rgb="FF12263A"/>
      <x:name val="Carlito"/>
    </x:font>
    <x:font>
      <x:sz val="9"/>
      <x:color rgb="FF17212B"/>
      <x:name val="Carlito"/>
    </x:font>
    <x:font>
      <x:b/>
      <x:sz val="11"/>
      <x:color rgb="FFFFFFFF"/>
      <x:name val="Carlito"/>
    </x:font>
    <x:font>
      <x:b/>
      <x:sz val="11"/>
      <x:color rgb="FF12263A"/>
      <x:name val="Carlito"/>
    </x:font>
    <x:font>
      <x:sz val="9"/>
      <x:color rgb="FF2563A6"/>
      <x:name val="Carlito"/>
    </x:font>
    <x:font>
      <x:sz val="10"/>
      <x:color rgb="FF6B4A1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8EEF4"/>
      </x:patternFill>
    </x:fill>
    <x:fill>
      <x:patternFill patternType="solid">
        <x:fgColor rgb="FF0F6B66"/>
      </x:patternFill>
    </x:fill>
    <x:fill>
      <x:patternFill patternType="solid">
        <x:fgColor rgb="FFF7F9FB"/>
      </x:patternFill>
    </x:fill>
    <x:fill>
      <x:patternFill patternType="solid">
        <x:fgColor rgb="FF2563A6"/>
      </x:patternFill>
    </x:fill>
    <x:fill>
      <x:patternFill patternType="solid">
        <x:fgColor rgb="FFEEF2F6"/>
      </x:patternFill>
    </x:fill>
    <x:fill>
      <x:patternFill patternType="solid">
        <x:fgColor rgb="FFB7791F"/>
      </x:patternFill>
    </x:fill>
    <x:fill>
      <x:patternFill patternType="solid">
        <x:fgColor rgb="FFFEF3C7"/>
      </x:patternFill>
    </x:fill>
  </x:fills>
  <x:borders count="18">
    <x:border/>
    <x:border>
      <x:left style="thin">
        <x:color rgb="FF0F6B66"/>
      </x:left>
      <x:top style="thin">
        <x:color rgb="FF0F6B66"/>
      </x:top>
      <x:bottom style="thin">
        <x:color rgb="FF0F6B66"/>
      </x:bottom>
    </x:border>
    <x:border>
      <x:top style="thin">
        <x:color rgb="FF0F6B66"/>
      </x:top>
      <x:bottom style="thin">
        <x:color rgb="FF0F6B66"/>
      </x:bottom>
    </x:border>
    <x:border>
      <x:right style="thin">
        <x:color rgb="FF0F6B66"/>
      </x:right>
      <x:top style="thin">
        <x:color rgb="FF0F6B66"/>
      </x:top>
      <x:bottom style="thin">
        <x:color rgb="FF0F6B66"/>
      </x:bottom>
    </x:border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bottom style="thin">
        <x:color rgb="FFE3E8EE"/>
      </x:bottom>
    </x:border>
    <x:border>
      <x:top style="thin">
        <x:color rgb="FFE3E8EE"/>
      </x:top>
      <x:bottom style="thin">
        <x:color rgb="FFE3E8EE"/>
      </x:bottom>
    </x:border>
    <x:border>
      <x:top style="thin">
        <x:color rgb="FFE3E8EE"/>
      </x:top>
    </x:border>
    <x:border>
      <x:left style="thin">
        <x:color rgb="FFB7791F"/>
      </x:left>
      <x:top style="thin">
        <x:color rgb="FFB7791F"/>
      </x:top>
    </x:border>
    <x:border>
      <x:top style="thin">
        <x:color rgb="FFB7791F"/>
      </x:top>
    </x:border>
    <x:border>
      <x:right style="thin">
        <x:color rgb="FFB7791F"/>
      </x:right>
      <x:top style="thin">
        <x:color rgb="FFB7791F"/>
      </x:top>
    </x:border>
    <x:border>
      <x:left style="thin">
        <x:color rgb="FFB7791F"/>
      </x:left>
    </x:border>
    <x:border>
      <x:right style="thin">
        <x:color rgb="FFB7791F"/>
      </x:right>
    </x:border>
    <x:border>
      <x:left style="thin">
        <x:color rgb="FFB7791F"/>
      </x:left>
      <x:bottom style="thin">
        <x:color rgb="FFB7791F"/>
      </x:bottom>
    </x:border>
    <x:border>
      <x:bottom style="thin">
        <x:color rgb="FFB7791F"/>
      </x:bottom>
    </x:border>
    <x:border>
      <x:right style="thin">
        <x:color rgb="FFB7791F"/>
      </x:right>
      <x:bottom style="thin">
        <x:color rgb="FFB7791F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10" xfId="0" applyNumberFormat="1" applyFont="1" applyFill="1" applyBorder="1"/>
    <x:xf numFmtId="0" fontId="10" fillId="9" borderId="11" xfId="0" applyNumberFormat="1" applyFont="1" applyFill="1" applyBorder="1"/>
    <x:xf numFmtId="0" fontId="10" fillId="9" borderId="12" xfId="0" applyNumberFormat="1" applyFont="1" applyFill="1" applyBorder="1"/>
    <x:xf numFmtId="0" fontId="10" fillId="9" borderId="13" xfId="0" applyNumberFormat="1" applyFont="1" applyFill="1" applyBorder="1"/>
    <x:xf numFmtId="0" fontId="10" fillId="9" borderId="14" xfId="0" applyNumberFormat="1" applyFont="1" applyFill="1" applyBorder="1"/>
    <x:xf numFmtId="0" fontId="10" fillId="9" borderId="15" xfId="0" applyNumberFormat="1" applyFont="1" applyFill="1" applyBorder="1"/>
    <x:xf numFmtId="0" fontId="10" fillId="9" borderId="16" xfId="0" applyNumberFormat="1" applyFont="1" applyFill="1" applyBorder="1"/>
    <x:xf numFmtId="0" fontId="10" fillId="9" borderId="17" xfId="0" applyNumberFormat="1" applyFont="1" applyFill="1" applyBorder="1"/>
    <x:xf numFmtId="0" fontId="10" fillId="9" borderId="10" xfId="0" applyNumberFormat="1" applyFont="1" applyFill="1" applyBorder="1" applyAlignment="1">
      <x:alignment wrapText="1"/>
    </x:xf>
    <x:xf numFmtId="0" fontId="10" fillId="9" borderId="11" xfId="0" applyNumberFormat="1" applyFont="1" applyFill="1" applyBorder="1" applyAlignment="1">
      <x:alignment wrapText="1"/>
    </x:xf>
    <x:xf numFmtId="0" fontId="10" fillId="9" borderId="12" xfId="0" applyNumberFormat="1" applyFont="1" applyFill="1" applyBorder="1" applyAlignment="1">
      <x:alignment wrapText="1"/>
    </x:xf>
    <x:xf numFmtId="0" fontId="10" fillId="9" borderId="13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14" xfId="0" applyNumberFormat="1" applyFont="1" applyFill="1" applyBorder="1" applyAlignment="1">
      <x:alignment wrapText="1"/>
    </x:xf>
    <x:xf numFmtId="0" fontId="10" fillId="9" borderId="15" xfId="0" applyNumberFormat="1" applyFont="1" applyFill="1" applyBorder="1" applyAlignment="1">
      <x:alignment wrapText="1"/>
    </x:xf>
    <x:xf numFmtId="0" fontId="10" fillId="9" borderId="16" xfId="0" applyNumberFormat="1" applyFont="1" applyFill="1" applyBorder="1" applyAlignment="1">
      <x:alignment wrapText="1"/>
    </x:xf>
    <x:xf numFmtId="0" fontId="10" fillId="9" borderId="17" xfId="0" applyNumberFormat="1" applyFont="1" applyFill="1" applyBorder="1" applyAlignment="1">
      <x:alignment wrapText="1"/>
    </x:xf>
    <x:xf numFmtId="0" fontId="10" fillId="9" borderId="10" xfId="0" applyNumberFormat="1" applyFont="1" applyFill="1" applyBorder="1" applyAlignment="1">
      <x:alignment vertical="top" wrapText="1"/>
    </x:xf>
    <x:xf numFmtId="0" fontId="10" fillId="9" borderId="11" xfId="0" applyNumberFormat="1" applyFont="1" applyFill="1" applyBorder="1" applyAlignment="1">
      <x:alignment vertical="top" wrapText="1"/>
    </x:xf>
    <x:xf numFmtId="0" fontId="10" fillId="9" borderId="12" xfId="0" applyNumberFormat="1" applyFont="1" applyFill="1" applyBorder="1" applyAlignment="1">
      <x:alignment vertical="top" wrapText="1"/>
    </x:xf>
    <x:xf numFmtId="0" fontId="10" fillId="9" borderId="13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9" borderId="14" xfId="0" applyNumberFormat="1" applyFont="1" applyFill="1" applyBorder="1" applyAlignment="1">
      <x:alignment vertical="top" wrapText="1"/>
    </x:xf>
    <x:xf numFmtId="0" fontId="10" fillId="9" borderId="15" xfId="0" applyNumberFormat="1" applyFont="1" applyFill="1" applyBorder="1" applyAlignment="1">
      <x:alignment vertical="top" wrapText="1"/>
    </x:xf>
    <x:xf numFmtId="0" fontId="10" fillId="9" borderId="16" xfId="0" applyNumberFormat="1" applyFont="1" applyFill="1" applyBorder="1" applyAlignment="1">
      <x:alignment vertical="top" wrapText="1"/>
    </x:xf>
    <x:xf numFmtId="0" fontId="10" fillId="9" borderId="17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6" fillId="0" borderId="8" xfId="0" applyNumberFormat="1" applyFont="1" applyFill="1" applyBorder="1" applyAlignment="1">
      <x:alignment horizontal="center" vertical="top" wrapText="1"/>
    </x:xf>
    <x:xf numFmtId="0" fontId="6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0">
    <x:dxf>
      <x:font>
        <x:b/>
        <x:color rgb="FF2F855A"/>
      </x:font>
      <x:fill>
        <x:patternFill patternType="solid">
          <x:bgColor rgb="FFDCFCE7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b/>
        <x:color rgb="FF2563A6"/>
      </x:font>
      <x:fill>
        <x:patternFill patternType="solid">
          <x:bgColor rgb="FFDBEAFE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2F855A"/>
      </x:font>
      <x:fill>
        <x:patternFill patternType="solid">
          <x:bgColor rgb="FFDCFCE7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b/>
        <x:color rgb="FF2563A6"/>
      </x:font>
      <x:fill>
        <x:patternFill patternType="solid">
          <x:bgColor rgb="FFDBEAFE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2F855A"/>
      </x:font>
      <x:fill>
        <x:patternFill patternType="solid">
          <x:bgColor rgb="FFDCFCE7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b/>
        <x:color rgb="FF2563A6"/>
      </x:font>
      <x:fill>
        <x:patternFill patternType="solid">
          <x:bgColor rgb="FFDBEAFE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2F855A"/>
      </x:font>
      <x:fill>
        <x:patternFill patternType="solid">
          <x:bgColor rgb="FFDCFCE7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b/>
        <x:color rgb="FF2563A6"/>
      </x:font>
      <x:fill>
        <x:patternFill patternType="solid">
          <x:bgColor rgb="FFDBEAFE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2F855A"/>
      </x:font>
      <x:fill>
        <x:patternFill patternType="solid">
          <x:bgColor rgb="FFDCFCE7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3114c0c514227" /><Relationship Type="http://schemas.openxmlformats.org/officeDocument/2006/relationships/theme" Target="/xl/theme/theme1.xml" Id="Rf5b169d4a48b4c0e" /><Relationship Type="http://schemas.openxmlformats.org/officeDocument/2006/relationships/sharedStrings" Target="/xl/sharedStrings.xml" Id="Ra76fe2ad9e0148db" /><Relationship Type="http://schemas.openxmlformats.org/officeDocument/2006/relationships/worksheet" Target="/xl/worksheets/sheet1.xml" Id="R4434009b6c52444f" /><Relationship Type="http://schemas.openxmlformats.org/officeDocument/2006/relationships/worksheet" Target="/xl/worksheets/sheet2.xml" Id="R69d61ba89f5d4827" /><Relationship Type="http://schemas.openxmlformats.org/officeDocument/2006/relationships/worksheet" Target="/xl/worksheets/sheet3.xml" Id="Rbf6da584f60e4dd7" /><Relationship Type="http://schemas.openxmlformats.org/officeDocument/2006/relationships/worksheet" Target="/xl/worksheets/sheet4.xml" Id="Rbd7c1c7691d44d31" /><Relationship Type="http://schemas.openxmlformats.org/officeDocument/2006/relationships/worksheet" Target="/xl/worksheets/sheet5.xml" Id="R3d6b31d88f534e9e" /><Relationship Type="http://schemas.openxmlformats.org/officeDocument/2006/relationships/worksheet" Target="/xl/worksheets/sheet6.xml" Id="Rea33a2f67a0042e1" /></Relationships>
</file>

<file path=xl/tables/table1.xml><?xml version="1.0" encoding="utf-8"?>
<x:table xmlns:x="http://schemas.openxmlformats.org/spreadsheetml/2006/main" id="1" name="PinAssignmentsA0" displayName="PinAssignmentsA0" ref="A4:P80" headerRowCount="1" totalsRowCount="0" totalsRowShown="0">
  <x:autoFilter ref="A4:P80"/>
  <x:tableColumns count="16">
    <x:tableColumn id="1" name="ID"/>
    <x:tableColumn id="2" name="Subsystem"/>
    <x:tableColumn id="3" name="Interface"/>
    <x:tableColumn id="4" name="Function"/>
    <x:tableColumn id="5" name="Connector"/>
    <x:tableColumn id="6" name="Pin"/>
    <x:tableColumn id="7" name="CM5 signal"/>
    <x:tableColumn id="8" name="SoC ball"/>
    <x:tableColumn id="9" name="Selected mux"/>
    <x:tableColumn id="10" name="Direction at CM5"/>
    <x:tableColumn id="11" name="Electrical / voltage"/>
    <x:tableColumn id="12" name="Status"/>
    <x:tableColumn id="13" name="Carrier net"/>
    <x:tableColumn id="14" name="Conflict / routing rule"/>
    <x:tableColumn id="15" name="Destination"/>
    <x:tableColumn id="16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ourceOwnershipA0" displayName="ResourceOwnershipA0" ref="A4:H21" headerRowCount="1" totalsRowCount="0" totalsRowShown="0">
  <x:autoFilter ref="A4:H21"/>
  <x:tableColumns count="8">
    <x:tableColumn id="1" name="ID"/>
    <x:tableColumn id="2" name="CM5 resource"/>
    <x:tableColumn id="3" name="Selected mode"/>
    <x:tableColumn id="4" name="Owner"/>
    <x:tableColumn id="5" name="Physical pins"/>
    <x:tableColumn id="6" name="Status"/>
    <x:tableColumn id="7" name="Excluded alternate"/>
    <x:tableColumn id="8" name="Implement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AllocationA0" displayName="ControlAllocationA0" ref="A4:H18" headerRowCount="1" totalsRowCount="0" totalsRowShown="0">
  <x:autoFilter ref="A4:H18"/>
  <x:tableColumns count="8">
    <x:tableColumn id="1" name="ID"/>
    <x:tableColumn id="2" name="Function"/>
    <x:tableColumn id="3" name="Implementation"/>
    <x:tableColumn id="4" name="Bus / CM5 pin"/>
    <x:tableColumn id="5" name="Device or signal group"/>
    <x:tableColumn id="6" name="Direction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flictLedgerA0" displayName="ConflictLedgerA0" ref="A4:H18" headerRowCount="1" totalsRowCount="0" totalsRowShown="0">
  <x:autoFilter ref="A4:H18"/>
  <x:tableColumns count="8">
    <x:tableColumn id="1" name="ID"/>
    <x:tableColumn id="2" name="Shared resource"/>
    <x:tableColumn id="3" name="Competing functions"/>
    <x:tableColumn id="4" name="Chosen owner"/>
    <x:tableColumn id="5" name="Required action"/>
    <x:tableColumn id="6" name="Severity"/>
    <x:tableColumn id="7" name="Status"/>
    <x:tableColumn id="8" name="Evidence / 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fficialSourceRowsA0" displayName="OfficialSourceRowsA0" ref="A4:Q80" headerRowCount="1" totalsRowCount="0" totalsRowShown="0">
  <x:autoFilter ref="A4:Q80"/>
  <x:tableColumns count="17">
    <x:tableColumn id="1" name="Connector"/>
    <x:tableColumn id="2" name="Pin"/>
    <x:tableColumn id="3" name="Radxa CM5"/>
    <x:tableColumn id="4" name="SoC ball"/>
    <x:tableColumn id="5" name="Func1"/>
    <x:tableColumn id="6" name="Func2"/>
    <x:tableColumn id="7" name="Func3"/>
    <x:tableColumn id="8" name="Func4"/>
    <x:tableColumn id="9" name="Func5"/>
    <x:tableColumn id="10" name="Func6"/>
    <x:tableColumn id="11" name="Func7"/>
    <x:tableColumn id="12" name="Func8"/>
    <x:tableColumn id="13" name="Func9"/>
    <x:tableColumn id="14" name="Func10"/>
    <x:tableColumn id="15" name="Vendor note"/>
    <x:tableColumn id="16" name="Allocation IDs"/>
    <x:tableColumn id="17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27138d3de046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60d7f7df4649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7162b49c3540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56f9b9ad404b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747022437540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4" hidden="0" customWidth="1"/>
    <x:col min="3" max="3" width="18" hidden="0" customWidth="1"/>
    <x:col min="4" max="4" width="16" hidden="0" customWidth="1"/>
    <x:col min="5" max="5" width="24" hidden="0" customWidth="1"/>
    <x:col min="6" max="6" width="35" hidden="0" customWidth="1"/>
    <x:col min="7" max="7" width="22" hidden="0" customWidth="1"/>
    <x:col min="8" max="8" width="18" hidden="0" customWidth="1"/>
  </x:cols>
  <x:sheetData>
    <x:row r="1" ht="30" customHeight="1">
      <x:c r="A1" s="3" t="str">
        <x:v>Radxa CM5 ProComm Pin Allocation A0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Conflict-free interface ownership for CM5-CARRIER schematic capture | Radxa CM5 V2.21 | 2026-08-13</x:v>
      </x:c>
      <x:c r="B2" s="7"/>
      <x:c r="C2" s="7"/>
      <x:c r="D2" s="7"/>
      <x:c r="E2" s="7"/>
      <x:c r="F2" s="7"/>
      <x:c r="G2" s="7"/>
      <x:c r="H2" s="7"/>
    </x:row>
    <x:row r="4">
      <x:c r="A4" s="9" t="str">
        <x:v>Allocation Status</x:v>
      </x:c>
      <x:c r="B4" s="9"/>
      <x:c r="C4" s="9"/>
      <x:c r="D4" s="9"/>
      <x:c r="E4" s="9"/>
      <x:c r="F4" s="9"/>
      <x:c r="G4" s="9"/>
      <x:c r="H4" s="9"/>
    </x:row>
    <x:row r="5">
      <x:c r="A5" s="17" t="str">
        <x:v>Total assigned pins</x:v>
      </x:c>
      <x:c r="B5" s="18" t="str">
        <x:v>Locked</x:v>
      </x:c>
      <x:c r="C5" s="18" t="str">
        <x:v>Conditional</x:v>
      </x:c>
      <x:c r="D5" s="18" t="str">
        <x:v>Reserved</x:v>
      </x:c>
      <x:c r="E5" s="18" t="str">
        <x:v>Open control items</x:v>
      </x:c>
      <x:c r="F5" s="18" t="str">
        <x:v>Release actions</x:v>
      </x:c>
      <x:c r="G5" s="18" t="str">
        <x:v>Blocking conflicts</x:v>
      </x:c>
      <x:c r="H5" s="19" t="str">
        <x:v>Source revision</x:v>
      </x:c>
    </x:row>
    <x:row r="6" ht="28" customHeight="1">
      <x:c r="A6" s="28" t="n">
        <x:f>COUNTA('Assignments'!$A$5:$A$150)</x:f>
        <x:v>76</x:v>
      </x:c>
      <x:c r="B6" s="29" t="n">
        <x:f>COUNTIF('Assignments'!$L$5:$L$150,"LOCKED")</x:f>
        <x:v>65</x:v>
      </x:c>
      <x:c r="C6" s="29" t="n">
        <x:f>COUNTIF('Assignments'!$L$5:$L$150,"CONDITIONAL")</x:f>
        <x:v>9</x:v>
      </x:c>
      <x:c r="D6" s="29" t="n">
        <x:f>COUNTIF('Assignments'!$L$5:$L$150,"RESERVED")</x:f>
        <x:v>2</x:v>
      </x:c>
      <x:c r="E6" s="29" t="n">
        <x:f>COUNTIF('Control Allocation'!$G$5:$G$50,"OPEN")</x:f>
        <x:v>1</x:v>
      </x:c>
      <x:c r="F6" s="29" t="n">
        <x:f>COUNTIF('Conflicts'!$G$5:$G$50,"ACTION")</x:f>
        <x:v>9</x:v>
      </x:c>
      <x:c r="G6" s="29" t="n">
        <x:f>COUNTIF('Conflicts'!$G$5:$G$50,"BLOCKING")</x:f>
        <x:v>0</x:v>
      </x:c>
      <x:c r="H6" s="30" t="str">
        <x:v>V2.21</x:v>
      </x:c>
    </x:row>
    <x:row r="8">
      <x:c r="A8" s="17" t="str">
        <x:v>Subsystem</x:v>
      </x:c>
      <x:c r="B8" s="18" t="str">
        <x:v>Locked ownership</x:v>
      </x:c>
      <x:c r="C8" s="19" t="str">
        <x:v>Status</x:v>
      </x:c>
      <x:c r="E8" s="42" t="str">
        <x:v>Controlled Sources</x:v>
      </x:c>
      <x:c r="F8" s="42"/>
      <x:c r="G8" s="42"/>
      <x:c r="H8" s="42"/>
    </x:row>
    <x:row r="9">
      <x:c r="A9" s="38" t="str">
        <x:v>Main audio</x:v>
      </x:c>
      <x:c r="B9" s="38" t="str">
        <x:v>AK5558VN + AK4458VN on I2S0 TDM</x:v>
      </x:c>
      <x:c r="C9" s="38" t="str">
        <x:v>LOCKED</x:v>
      </x:c>
      <x:c r="E9" s="45" t="str">
        <x:v>Official pinout</x:v>
      </x:c>
      <x:c r="F9" s="47" t="str">
        <x:v>https://dl.radxa.com/cm5/v2210/radxa_cm5_v2210_pinout.xlsx</x:v>
      </x:c>
    </x:row>
    <x:row r="10">
      <x:c r="A10" s="39" t="str">
        <x:v>Headset</x:v>
      </x:c>
      <x:c r="B10" s="39" t="str">
        <x:v>ES8316 on I2S1_M0; UART2_M0 preserved</x:v>
      </x:c>
      <x:c r="C10" s="39" t="str">
        <x:v>LOCKED</x:v>
      </x:c>
      <x:c r="E10" s="45" t="str">
        <x:v>Radxa hardware interface</x:v>
      </x:c>
      <x:c r="F10" s="47" t="str">
        <x:v>https://docs.radxa.com/en/som/cm/cm5/hardware/hw-interface</x:v>
      </x:c>
    </x:row>
    <x:row r="11">
      <x:c r="A11" s="39" t="str">
        <x:v>WAN1</x:v>
      </x:c>
      <x:c r="B11" s="39" t="str">
        <x:v>Native CM5 Ethernet MDI</x:v>
      </x:c>
      <x:c r="C11" s="39" t="str">
        <x:v>LOCKED</x:v>
      </x:c>
      <x:c r="E11" s="45" t="str">
        <x:v>Radxa downloads</x:v>
      </x:c>
      <x:c r="F11" s="47" t="str">
        <x:v>https://docs.radxa.com/en/som/cm/cm5/download</x:v>
      </x:c>
    </x:row>
    <x:row r="12">
      <x:c r="A12" s="39" t="str">
        <x:v>WAN2/LAN1/LAN2/Wi-Fi</x:v>
      </x:c>
      <x:c r="B12" s="39" t="str">
        <x:v>PCIE20_0 to PI7C9X2G608GP fabric</x:v>
      </x:c>
      <x:c r="C12" s="39" t="str">
        <x:v>LOCKED</x:v>
      </x:c>
      <x:c r="E12" s="45" t="str">
        <x:v>Official reference design</x:v>
      </x:c>
      <x:c r="F12" s="47" t="str">
        <x:v>https://github.com/radxa/radxa-som-projects/tree/30ced6754b31ff048245a4def8aaf27319991426/cm5/radxa-cm5-io-board</x:v>
      </x:c>
    </x:row>
    <x:row r="13">
      <x:c r="A13" s="39" t="str">
        <x:v>Cellular</x:v>
      </x:c>
      <x:c r="B13" s="39" t="str">
        <x:v>USB30_2 + USB20_HOST0 to M.2 B-Key</x:v>
      </x:c>
      <x:c r="C13" s="39" t="str">
        <x:v>LOCKED</x:v>
      </x:c>
      <x:c r="E13" s="45" t="str">
        <x:v>Local pinout copy</x:v>
      </x:c>
      <x:c r="F13" s="47" t="str">
        <x:v>/Users/viewvision/Desktop/Radxa CM5 PCB/docs/radxa_cm5_v2210_pinout.xlsx</x:v>
      </x:c>
    </x:row>
    <x:row r="14">
      <x:c r="A14" s="39" t="str">
        <x:v>Touch</x:v>
      </x:c>
      <x:c r="B14" s="39" t="str">
        <x:v>USB20_HOST1 pending exact monitor USB2 test</x:v>
      </x:c>
      <x:c r="C14" s="39" t="str">
        <x:v>CONDITIONAL</x:v>
      </x:c>
    </x:row>
    <x:row r="15">
      <x:c r="A15" s="39" t="str">
        <x:v>Recovery</x:v>
      </x:c>
      <x:c r="B15" s="39" t="str">
        <x:v>Type-C0 USB2 OTG, internal only</x:v>
      </x:c>
      <x:c r="C15" s="39" t="str">
        <x:v>LOCKED</x:v>
      </x:c>
      <x:c r="E15" s="49" t="str">
        <x:v>Release Gate</x:v>
      </x:c>
      <x:c r="F15" s="49"/>
      <x:c r="G15" s="49"/>
      <x:c r="H15" s="49"/>
    </x:row>
    <x:row r="16">
      <x:c r="A16" s="39" t="str">
        <x:v>Display video</x:v>
      </x:c>
      <x:c r="B16" s="39" t="str">
        <x:v>HDMI_TX0</x:v>
      </x:c>
      <x:c r="C16" s="39" t="str">
        <x:v>LOCKED</x:v>
      </x:c>
      <x:c r="E16" s="69" t="str">
        <x:v>Proceed with detailed schematic capture using these assignments. Do not begin production routing until the ACTION rows are closed, especially the monitor USB2 touch test, CM5 VCC_SYSIN tolerance check, I2C audit, PCIe sequencing review, and production-kernel pinctrl validation.</x:v>
      </x:c>
      <x:c r="F16" s="70"/>
      <x:c r="G16" s="70"/>
      <x:c r="H16" s="71"/>
    </x:row>
    <x:row r="17">
      <x:c r="A17" s="39" t="str">
        <x:v>Fan/status/control GPIO</x:v>
      </x:c>
      <x:c r="B17" s="39" t="str">
        <x:v>I2C7 controllers and expanders</x:v>
      </x:c>
      <x:c r="C17" s="39" t="str">
        <x:v>LOCKED</x:v>
      </x:c>
      <x:c r="E17" s="72"/>
      <x:c r="F17" s="73"/>
      <x:c r="G17" s="73"/>
      <x:c r="H17" s="74"/>
    </x:row>
    <x:row r="18">
      <x:c r="A18" s="40" t="str">
        <x:v>CM5 power setpoint</x:v>
      </x:c>
      <x:c r="B18" s="40" t="str">
        <x:v>Six VCC_SYSIN pins; final tolerance review open</x:v>
      </x:c>
      <x:c r="C18" s="40" t="str">
        <x:v>CONDITIONAL</x:v>
      </x:c>
      <x:c r="E18" s="72"/>
      <x:c r="F18" s="73"/>
      <x:c r="G18" s="73"/>
      <x:c r="H18" s="74"/>
    </x:row>
    <x:row r="19">
      <x:c r="E19" s="75"/>
      <x:c r="F19" s="76"/>
      <x:c r="G19" s="76"/>
      <x:c r="H19" s="77"/>
    </x:row>
  </x:sheetData>
  <x:mergeCells>
    <x:mergeCell ref="A1:H1"/>
    <x:mergeCell ref="A2:H2"/>
    <x:mergeCell ref="A4:H4"/>
    <x:mergeCell ref="E8:H8"/>
    <x:mergeCell ref="E15:H15"/>
    <x:mergeCell ref="E16:H19"/>
  </x:mergeCells>
  <x:conditionalFormatting sqref="C9:C18">
    <x:cfRule type="containsText" dxfId="0" priority="1" operator="containsText" text="LOCKED"/>
    <x:cfRule type="containsText" dxfId="1" priority="2" operator="containsText" text="CONDITIONAL"/>
    <x:cfRule type="containsText" dxfId="2" priority="3" operator="containsText" text="RESERVED"/>
    <x:cfRule type="containsText" dxfId="3" priority="4" operator="containsText" text="OP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24" hidden="0" customWidth="1"/>
    <x:col min="5" max="5" width="12" hidden="0" customWidth="1"/>
    <x:col min="6" max="6" width="8" hidden="0" customWidth="1"/>
    <x:col min="7" max="7" width="25" hidden="0" customWidth="1"/>
    <x:col min="8" max="8" width="11" hidden="0" customWidth="1"/>
    <x:col min="9" max="9" width="25" hidden="0" customWidth="1"/>
    <x:col min="10" max="10" width="17" hidden="0" customWidth="1"/>
    <x:col min="11" max="11" width="20" hidden="0" customWidth="1"/>
    <x:col min="12" max="12" width="16" hidden="0" customWidth="1"/>
    <x:col min="13" max="13" width="24" hidden="0" customWidth="1"/>
    <x:col min="14" max="14" width="47" hidden="0" customWidth="1"/>
    <x:col min="15" max="15" width="28" hidden="0" customWidth="1"/>
    <x:col min="16" max="16" width="42" hidden="0" customWidth="1"/>
  </x:cols>
  <x:sheetData>
    <x:row r="1" ht="30" customHeight="1">
      <x:c r="A1" s="3" t="str">
        <x:v>CM5 Physical Pin Assignments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Every row is one controlled CM5 connector pin. Alternate functions listed in the official source remain mutually exclusive.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0" customHeight="1"/>
    <x:row r="4" ht="34" customHeight="1">
      <x:c r="A4" s="17" t="str">
        <x:v>ID</x:v>
      </x:c>
      <x:c r="B4" s="18" t="str">
        <x:v>Subsystem</x:v>
      </x:c>
      <x:c r="C4" s="18" t="str">
        <x:v>Interface</x:v>
      </x:c>
      <x:c r="D4" s="18" t="str">
        <x:v>Function</x:v>
      </x:c>
      <x:c r="E4" s="18" t="str">
        <x:v>Connector</x:v>
      </x:c>
      <x:c r="F4" s="18" t="str">
        <x:v>Pin</x:v>
      </x:c>
      <x:c r="G4" s="18" t="str">
        <x:v>CM5 signal</x:v>
      </x:c>
      <x:c r="H4" s="18" t="str">
        <x:v>SoC ball</x:v>
      </x:c>
      <x:c r="I4" s="18" t="str">
        <x:v>Selected mux</x:v>
      </x:c>
      <x:c r="J4" s="18" t="str">
        <x:v>Direction at CM5</x:v>
      </x:c>
      <x:c r="K4" s="18" t="str">
        <x:v>Electrical / voltage</x:v>
      </x:c>
      <x:c r="L4" s="18" t="str">
        <x:v>Status</x:v>
      </x:c>
      <x:c r="M4" s="18" t="str">
        <x:v>Carrier net</x:v>
      </x:c>
      <x:c r="N4" s="18" t="str">
        <x:v>Conflict / routing rule</x:v>
      </x:c>
      <x:c r="O4" s="18" t="str">
        <x:v>Destination</x:v>
      </x:c>
      <x:c r="P4" s="19" t="str">
        <x:v>Source URL</x:v>
      </x:c>
    </x:row>
    <x:row r="5" ht="30" customHeight="1">
      <x:c r="A5" s="38" t="str">
        <x:v>PWR-77</x:v>
      </x:c>
      <x:c r="B5" s="38" t="str">
        <x:v>CM5 power</x:v>
      </x:c>
      <x:c r="C5" s="38" t="str">
        <x:v>Power</x:v>
      </x:c>
      <x:c r="D5" s="38" t="str">
        <x:v>CM5 input 77</x:v>
      </x:c>
      <x:c r="E5" s="38" t="str">
        <x:v>U13-A</x:v>
      </x:c>
      <x:c r="F5" s="78" t="n">
        <x:v>77</x:v>
      </x:c>
      <x:c r="G5" s="38" t="str">
        <x:v>VCC_SYSIN</x:v>
      </x:c>
      <x:c r="H5" s="38" t="str">
        <x:v>-</x:v>
      </x:c>
      <x:c r="I5" s="38" t="str">
        <x:v>Power</x:v>
      </x:c>
      <x:c r="J5" s="38" t="str">
        <x:v>Input</x:v>
      </x:c>
      <x:c r="K5" s="38" t="str">
        <x:v>5 V-class input</x:v>
      </x:c>
      <x:c r="L5" s="38" t="str">
        <x:v>CONDITIONAL</x:v>
      </x:c>
      <x:c r="M5" s="38" t="str">
        <x:v>SYS_5V15</x:v>
      </x:c>
      <x:c r="N5" s="38" t="str">
        <x:v>Use all six pins; release final 5.15 V setpoint only after CM5 range/tolerance review.</x:v>
      </x:c>
      <x:c r="O5" s="38" t="str">
        <x:v>Radxa CM5</x:v>
      </x:c>
      <x:c r="P5" s="38" t="str">
        <x:v>https://dl.radxa.com/cm5/v2210/radxa_cm5_v2210_pinout.xlsx</x:v>
      </x:c>
    </x:row>
    <x:row r="6" ht="30" customHeight="1">
      <x:c r="A6" s="39" t="str">
        <x:v>PWR-79</x:v>
      </x:c>
      <x:c r="B6" s="39" t="str">
        <x:v>CM5 power</x:v>
      </x:c>
      <x:c r="C6" s="39" t="str">
        <x:v>Power</x:v>
      </x:c>
      <x:c r="D6" s="39" t="str">
        <x:v>CM5 input 79</x:v>
      </x:c>
      <x:c r="E6" s="39" t="str">
        <x:v>U13-A</x:v>
      </x:c>
      <x:c r="F6" s="79" t="n">
        <x:v>79</x:v>
      </x:c>
      <x:c r="G6" s="39" t="str">
        <x:v>VCC_SYSIN</x:v>
      </x:c>
      <x:c r="H6" s="39" t="str">
        <x:v>-</x:v>
      </x:c>
      <x:c r="I6" s="39" t="str">
        <x:v>Power</x:v>
      </x:c>
      <x:c r="J6" s="39" t="str">
        <x:v>Input</x:v>
      </x:c>
      <x:c r="K6" s="39" t="str">
        <x:v>5 V-class input</x:v>
      </x:c>
      <x:c r="L6" s="39" t="str">
        <x:v>CONDITIONAL</x:v>
      </x:c>
      <x:c r="M6" s="39" t="str">
        <x:v>SYS_5V15</x:v>
      </x:c>
      <x:c r="N6" s="39" t="str">
        <x:v>Use all six pins; release final 5.15 V setpoint only after CM5 range/tolerance review.</x:v>
      </x:c>
      <x:c r="O6" s="39" t="str">
        <x:v>Radxa CM5</x:v>
      </x:c>
      <x:c r="P6" s="39" t="str">
        <x:v>https://dl.radxa.com/cm5/v2210/radxa_cm5_v2210_pinout.xlsx</x:v>
      </x:c>
    </x:row>
    <x:row r="7" ht="30" customHeight="1">
      <x:c r="A7" s="39" t="str">
        <x:v>PWR-81</x:v>
      </x:c>
      <x:c r="B7" s="39" t="str">
        <x:v>CM5 power</x:v>
      </x:c>
      <x:c r="C7" s="39" t="str">
        <x:v>Power</x:v>
      </x:c>
      <x:c r="D7" s="39" t="str">
        <x:v>CM5 input 81</x:v>
      </x:c>
      <x:c r="E7" s="39" t="str">
        <x:v>U13-A</x:v>
      </x:c>
      <x:c r="F7" s="79" t="n">
        <x:v>81</x:v>
      </x:c>
      <x:c r="G7" s="39" t="str">
        <x:v>VCC_SYSIN</x:v>
      </x:c>
      <x:c r="H7" s="39" t="str">
        <x:v>-</x:v>
      </x:c>
      <x:c r="I7" s="39" t="str">
        <x:v>Power</x:v>
      </x:c>
      <x:c r="J7" s="39" t="str">
        <x:v>Input</x:v>
      </x:c>
      <x:c r="K7" s="39" t="str">
        <x:v>5 V-class input</x:v>
      </x:c>
      <x:c r="L7" s="39" t="str">
        <x:v>CONDITIONAL</x:v>
      </x:c>
      <x:c r="M7" s="39" t="str">
        <x:v>SYS_5V15</x:v>
      </x:c>
      <x:c r="N7" s="39" t="str">
        <x:v>Use all six pins; release final 5.15 V setpoint only after CM5 range/tolerance review.</x:v>
      </x:c>
      <x:c r="O7" s="39" t="str">
        <x:v>Radxa CM5</x:v>
      </x:c>
      <x:c r="P7" s="39" t="str">
        <x:v>https://dl.radxa.com/cm5/v2210/radxa_cm5_v2210_pinout.xlsx</x:v>
      </x:c>
    </x:row>
    <x:row r="8" ht="30" customHeight="1">
      <x:c r="A8" s="39" t="str">
        <x:v>PWR-83</x:v>
      </x:c>
      <x:c r="B8" s="39" t="str">
        <x:v>CM5 power</x:v>
      </x:c>
      <x:c r="C8" s="39" t="str">
        <x:v>Power</x:v>
      </x:c>
      <x:c r="D8" s="39" t="str">
        <x:v>CM5 input 83</x:v>
      </x:c>
      <x:c r="E8" s="39" t="str">
        <x:v>U13-A</x:v>
      </x:c>
      <x:c r="F8" s="79" t="n">
        <x:v>83</x:v>
      </x:c>
      <x:c r="G8" s="39" t="str">
        <x:v>VCC_SYSIN</x:v>
      </x:c>
      <x:c r="H8" s="39" t="str">
        <x:v>-</x:v>
      </x:c>
      <x:c r="I8" s="39" t="str">
        <x:v>Power</x:v>
      </x:c>
      <x:c r="J8" s="39" t="str">
        <x:v>Input</x:v>
      </x:c>
      <x:c r="K8" s="39" t="str">
        <x:v>5 V-class input</x:v>
      </x:c>
      <x:c r="L8" s="39" t="str">
        <x:v>CONDITIONAL</x:v>
      </x:c>
      <x:c r="M8" s="39" t="str">
        <x:v>SYS_5V15</x:v>
      </x:c>
      <x:c r="N8" s="39" t="str">
        <x:v>Use all six pins; release final 5.15 V setpoint only after CM5 range/tolerance review.</x:v>
      </x:c>
      <x:c r="O8" s="39" t="str">
        <x:v>Radxa CM5</x:v>
      </x:c>
      <x:c r="P8" s="39" t="str">
        <x:v>https://dl.radxa.com/cm5/v2210/radxa_cm5_v2210_pinout.xlsx</x:v>
      </x:c>
    </x:row>
    <x:row r="9" ht="30" customHeight="1">
      <x:c r="A9" s="39" t="str">
        <x:v>PWR-85</x:v>
      </x:c>
      <x:c r="B9" s="39" t="str">
        <x:v>CM5 power</x:v>
      </x:c>
      <x:c r="C9" s="39" t="str">
        <x:v>Power</x:v>
      </x:c>
      <x:c r="D9" s="39" t="str">
        <x:v>CM5 input 85</x:v>
      </x:c>
      <x:c r="E9" s="39" t="str">
        <x:v>U13-A</x:v>
      </x:c>
      <x:c r="F9" s="79" t="n">
        <x:v>85</x:v>
      </x:c>
      <x:c r="G9" s="39" t="str">
        <x:v>VCC_SYSIN</x:v>
      </x:c>
      <x:c r="H9" s="39" t="str">
        <x:v>-</x:v>
      </x:c>
      <x:c r="I9" s="39" t="str">
        <x:v>Power</x:v>
      </x:c>
      <x:c r="J9" s="39" t="str">
        <x:v>Input</x:v>
      </x:c>
      <x:c r="K9" s="39" t="str">
        <x:v>5 V-class input</x:v>
      </x:c>
      <x:c r="L9" s="39" t="str">
        <x:v>CONDITIONAL</x:v>
      </x:c>
      <x:c r="M9" s="39" t="str">
        <x:v>SYS_5V15</x:v>
      </x:c>
      <x:c r="N9" s="39" t="str">
        <x:v>Use all six pins; release final 5.15 V setpoint only after CM5 range/tolerance review.</x:v>
      </x:c>
      <x:c r="O9" s="39" t="str">
        <x:v>Radxa CM5</x:v>
      </x:c>
      <x:c r="P9" s="39" t="str">
        <x:v>https://dl.radxa.com/cm5/v2210/radxa_cm5_v2210_pinout.xlsx</x:v>
      </x:c>
    </x:row>
    <x:row r="10" ht="30" customHeight="1">
      <x:c r="A10" s="39" t="str">
        <x:v>PWR-87</x:v>
      </x:c>
      <x:c r="B10" s="39" t="str">
        <x:v>CM5 power</x:v>
      </x:c>
      <x:c r="C10" s="39" t="str">
        <x:v>Power</x:v>
      </x:c>
      <x:c r="D10" s="39" t="str">
        <x:v>CM5 input 87</x:v>
      </x:c>
      <x:c r="E10" s="39" t="str">
        <x:v>U13-A</x:v>
      </x:c>
      <x:c r="F10" s="79" t="n">
        <x:v>87</x:v>
      </x:c>
      <x:c r="G10" s="39" t="str">
        <x:v>VCC_SYSIN</x:v>
      </x:c>
      <x:c r="H10" s="39" t="str">
        <x:v>-</x:v>
      </x:c>
      <x:c r="I10" s="39" t="str">
        <x:v>Power</x:v>
      </x:c>
      <x:c r="J10" s="39" t="str">
        <x:v>Input</x:v>
      </x:c>
      <x:c r="K10" s="39" t="str">
        <x:v>5 V-class input</x:v>
      </x:c>
      <x:c r="L10" s="39" t="str">
        <x:v>CONDITIONAL</x:v>
      </x:c>
      <x:c r="M10" s="39" t="str">
        <x:v>SYS_5V15</x:v>
      </x:c>
      <x:c r="N10" s="39" t="str">
        <x:v>Use all six pins; release final 5.15 V setpoint only after CM5 range/tolerance review.</x:v>
      </x:c>
      <x:c r="O10" s="39" t="str">
        <x:v>Radxa CM5</x:v>
      </x:c>
      <x:c r="P10" s="39" t="str">
        <x:v>https://dl.radxa.com/cm5/v2210/radxa_cm5_v2210_pinout.xlsx</x:v>
      </x:c>
    </x:row>
    <x:row r="11" ht="30" customHeight="1">
      <x:c r="A11" s="39" t="str">
        <x:v>PWR-078</x:v>
      </x:c>
      <x:c r="B11" s="39" t="str">
        <x:v>CM5 power</x:v>
      </x:c>
      <x:c r="C11" s="39" t="str">
        <x:v>GPIO reference</x:v>
      </x:c>
      <x:c r="D11" s="39" t="str">
        <x:v>GPIO I/O reference</x:v>
      </x:c>
      <x:c r="E11" s="39" t="str">
        <x:v>U13-A</x:v>
      </x:c>
      <x:c r="F11" s="79" t="n">
        <x:v>78</x:v>
      </x:c>
      <x:c r="G11" s="39" t="str">
        <x:v>GPIO_VREF</x:v>
      </x:c>
      <x:c r="H11" s="39" t="str">
        <x:v>-</x:v>
      </x:c>
      <x:c r="I11" s="39" t="str">
        <x:v>Power</x:v>
      </x:c>
      <x:c r="J11" s="39" t="str">
        <x:v>Input</x:v>
      </x:c>
      <x:c r="K11" s="39" t="str">
        <x:v>3.3 V selected</x:v>
      </x:c>
      <x:c r="L11" s="39" t="str">
        <x:v>LOCKED</x:v>
      </x:c>
      <x:c r="M11" s="39" t="str">
        <x:v>LOGIC_3V3</x:v>
      </x:c>
      <x:c r="N11" s="39" t="str">
        <x:v>No assigned GPIO may see 5 V; verify I/O bank sequencing.</x:v>
      </x:c>
      <x:c r="O11" s="39" t="str">
        <x:v>Radxa CM5</x:v>
      </x:c>
      <x:c r="P11" s="39" t="str">
        <x:v>https://dl.radxa.com/cm5/v2210/radxa_cm5_v2210_pinout.xlsx</x:v>
      </x:c>
    </x:row>
    <x:row r="12" ht="30" customHeight="1">
      <x:c r="A12" s="39" t="str">
        <x:v>PWR-106</x:v>
      </x:c>
      <x:c r="B12" s="39" t="str">
        <x:v>HDMI power</x:v>
      </x:c>
      <x:c r="C12" s="39" t="str">
        <x:v>HDMI support</x:v>
      </x:c>
      <x:c r="D12" s="39" t="str">
        <x:v>Conditional CM5 HDMI 5 V</x:v>
      </x:c>
      <x:c r="E12" s="39" t="str">
        <x:v>U13-B</x:v>
      </x:c>
      <x:c r="F12" s="79" t="n">
        <x:v>106</x:v>
      </x:c>
      <x:c r="G12" s="39" t="str">
        <x:v>5V_HDMI</x:v>
      </x:c>
      <x:c r="H12" s="39" t="str">
        <x:v>-</x:v>
      </x:c>
      <x:c r="I12" s="39" t="str">
        <x:v>Power</x:v>
      </x:c>
      <x:c r="J12" s="39" t="str">
        <x:v>Input / NC</x:v>
      </x:c>
      <x:c r="K12" s="39" t="str">
        <x:v>5 V</x:v>
      </x:c>
      <x:c r="L12" s="39" t="str">
        <x:v>CONDITIONAL</x:v>
      </x:c>
      <x:c r="M12" s="39" t="str">
        <x:v>HDMI_5V_OPTION</x:v>
      </x:c>
      <x:c r="N12" s="39" t="str">
        <x:v>Official pinout allows NC with 5 V-class VCC_SYSIN; retain a controlled DNP/link option.</x:v>
      </x:c>
      <x:c r="O12" s="39" t="str">
        <x:v>Radxa CM5</x:v>
      </x:c>
      <x:c r="P12" s="39" t="str">
        <x:v>https://dl.radxa.com/cm5/v2210/radxa_cm5_v2210_pinout.xlsx</x:v>
      </x:c>
    </x:row>
    <x:row r="13" ht="30" customHeight="1">
      <x:c r="A13" s="39" t="str">
        <x:v>SVC-092</x:v>
      </x:c>
      <x:c r="B13" s="39" t="str">
        <x:v>Service</x:v>
      </x:c>
      <x:c r="C13" s="39" t="str">
        <x:v>Reset</x:v>
      </x:c>
      <x:c r="D13" s="39" t="str">
        <x:v>Internal reset</x:v>
      </x:c>
      <x:c r="E13" s="39" t="str">
        <x:v>U13-A</x:v>
      </x:c>
      <x:c r="F13" s="79" t="n">
        <x:v>92</x:v>
      </x:c>
      <x:c r="G13" s="39" t="str">
        <x:v>RESET_L</x:v>
      </x:c>
      <x:c r="H13" s="39" t="str">
        <x:v>V42</x:v>
      </x:c>
      <x:c r="I13" s="39" t="str">
        <x:v>NPOR</x:v>
      </x:c>
      <x:c r="J13" s="39" t="str">
        <x:v>Input</x:v>
      </x:c>
      <x:c r="K13" s="39" t="str">
        <x:v>3.3 V domain</x:v>
      </x:c>
      <x:c r="L13" s="39" t="str">
        <x:v>LOCKED</x:v>
      </x:c>
      <x:c r="M13" s="39" t="str">
        <x:v>CM5_RESET_N</x:v>
      </x:c>
      <x:c r="N13" s="39" t="str">
        <x:v>Internal pad/button only; not a top-panel control.</x:v>
      </x:c>
      <x:c r="O13" s="39" t="str">
        <x:v>Internal service header</x:v>
      </x:c>
      <x:c r="P13" s="39" t="str">
        <x:v>https://dl.radxa.com/cm5/v2210/radxa_cm5_v2210_pinout.xlsx</x:v>
      </x:c>
    </x:row>
    <x:row r="14" ht="30" customHeight="1">
      <x:c r="A14" s="39" t="str">
        <x:v>SVC-093</x:v>
      </x:c>
      <x:c r="B14" s="39" t="str">
        <x:v>Service</x:v>
      </x:c>
      <x:c r="C14" s="39" t="str">
        <x:v>Boot</x:v>
      </x:c>
      <x:c r="D14" s="39" t="str">
        <x:v>Internal boot strap</x:v>
      </x:c>
      <x:c r="E14" s="39" t="str">
        <x:v>U13-A</x:v>
      </x:c>
      <x:c r="F14" s="79" t="n">
        <x:v>93</x:v>
      </x:c>
      <x:c r="G14" s="39" t="str">
        <x:v>SARADC_VIN0_BOOT</x:v>
      </x:c>
      <x:c r="H14" s="39" t="str">
        <x:v>AW15</x:v>
      </x:c>
      <x:c r="I14" s="39" t="str">
        <x:v>SARADC_IN0_BOOT</x:v>
      </x:c>
      <x:c r="J14" s="39" t="str">
        <x:v>Input</x:v>
      </x:c>
      <x:c r="K14" s="39" t="str">
        <x:v>Analog strap</x:v>
      </x:c>
      <x:c r="L14" s="39" t="str">
        <x:v>LOCKED</x:v>
      </x:c>
      <x:c r="M14" s="39" t="str">
        <x:v>CM5_BOOT</x:v>
      </x:c>
      <x:c r="N14" s="39" t="str">
        <x:v>Internal recovery/provisioning access only.</x:v>
      </x:c>
      <x:c r="O14" s="39" t="str">
        <x:v>Internal service header</x:v>
      </x:c>
      <x:c r="P14" s="39" t="str">
        <x:v>https://dl.radxa.com/cm5/v2210/radxa_cm5_v2210_pinout.xlsx</x:v>
      </x:c>
    </x:row>
    <x:row r="15" ht="30" customHeight="1">
      <x:c r="A15" s="39" t="str">
        <x:v>SVC-099</x:v>
      </x:c>
      <x:c r="B15" s="39" t="str">
        <x:v>Service</x:v>
      </x:c>
      <x:c r="C15" s="39" t="str">
        <x:v>Power control</x:v>
      </x:c>
      <x:c r="D15" s="39" t="str">
        <x:v>Internal power-on control</x:v>
      </x:c>
      <x:c r="E15" s="39" t="str">
        <x:v>U13-A</x:v>
      </x:c>
      <x:c r="F15" s="79" t="n">
        <x:v>99</x:v>
      </x:c>
      <x:c r="G15" s="39" t="str">
        <x:v>PWRON_L</x:v>
      </x:c>
      <x:c r="H15" s="39" t="str">
        <x:v>-</x:v>
      </x:c>
      <x:c r="I15" s="39" t="str">
        <x:v>PWRON_L</x:v>
      </x:c>
      <x:c r="J15" s="39" t="str">
        <x:v>Input</x:v>
      </x:c>
      <x:c r="K15" s="39" t="str">
        <x:v>Active low</x:v>
      </x:c>
      <x:c r="L15" s="39" t="str">
        <x:v>LOCKED</x:v>
      </x:c>
      <x:c r="M15" s="39" t="str">
        <x:v>CM5_PWRON_N</x:v>
      </x:c>
      <x:c r="N15" s="39" t="str">
        <x:v>Do not confuse with the two-source panel power disconnect.</x:v>
      </x:c>
      <x:c r="O15" s="39" t="str">
        <x:v>Internal service header</x:v>
      </x:c>
      <x:c r="P15" s="39" t="str">
        <x:v>https://dl.radxa.com/cm5/v2210/radxa_cm5_v2210_pinout.xlsx</x:v>
      </x:c>
    </x:row>
    <x:row r="16" ht="30" customHeight="1">
      <x:c r="A16" s="39" t="str">
        <x:v>SVC-J26</x:v>
      </x:c>
      <x:c r="B16" s="39" t="str">
        <x:v>Service</x:v>
      </x:c>
      <x:c r="C16" s="39" t="str">
        <x:v>Recovery key</x:v>
      </x:c>
      <x:c r="D16" s="39" t="str">
        <x:v>Internal recovery key</x:v>
      </x:c>
      <x:c r="E16" s="39" t="str">
        <x:v>J1</x:v>
      </x:c>
      <x:c r="F16" s="79" t="n">
        <x:v>26</x:v>
      </x:c>
      <x:c r="G16" s="39" t="str">
        <x:v>SARADC_VIN1_KEY/RECOVERY</x:v>
      </x:c>
      <x:c r="H16" s="39" t="str">
        <x:v>AY13</x:v>
      </x:c>
      <x:c r="I16" s="39" t="str">
        <x:v>SARADC_IN1</x:v>
      </x:c>
      <x:c r="J16" s="39" t="str">
        <x:v>Input</x:v>
      </x:c>
      <x:c r="K16" s="39" t="str">
        <x:v>Analog key</x:v>
      </x:c>
      <x:c r="L16" s="39" t="str">
        <x:v>LOCKED</x:v>
      </x:c>
      <x:c r="M16" s="39" t="str">
        <x:v>CM5_RECOVERY_KEY</x:v>
      </x:c>
      <x:c r="N16" s="39" t="str">
        <x:v>Internal service input; no top-panel button.</x:v>
      </x:c>
      <x:c r="O16" s="39" t="str">
        <x:v>Internal service header</x:v>
      </x:c>
      <x:c r="P16" s="39" t="str">
        <x:v>https://dl.radxa.com/cm5/v2210/radxa_cm5_v2210_pinout.xlsx</x:v>
      </x:c>
    </x:row>
    <x:row r="17" ht="30" customHeight="1">
      <x:c r="A17" s="39" t="str">
        <x:v>ETH-003</x:v>
      </x:c>
      <x:c r="B17" s="39" t="str">
        <x:v>WAN1</x:v>
      </x:c>
      <x:c r="C17" s="39" t="str">
        <x:v>Native GbE</x:v>
      </x:c>
      <x:c r="D17" s="39" t="str">
        <x:v>PHY1_MDI3+</x:v>
      </x:c>
      <x:c r="E17" s="39" t="str">
        <x:v>U13-A</x:v>
      </x:c>
      <x:c r="F17" s="79" t="n">
        <x:v>3</x:v>
      </x:c>
      <x:c r="G17" s="39" t="str">
        <x:v>PHY1_MDI3+</x:v>
      </x:c>
      <x:c r="H17" s="39" t="str">
        <x:v>-</x:v>
      </x:c>
      <x:c r="I17" s="39" t="str">
        <x:v>Native PHY MDI</x:v>
      </x:c>
      <x:c r="J17" s="39" t="str">
        <x:v>Bidirectional</x:v>
      </x:c>
      <x:c r="K17" s="39" t="str">
        <x:v>100 ohm differential</x:v>
      </x:c>
      <x:c r="L17" s="39" t="str">
        <x:v>LOCKED</x:v>
      </x:c>
      <x:c r="M17" s="39" t="str">
        <x:v>WAN1_MDI3_P</x:v>
      </x:c>
      <x:c r="N17" s="39" t="str">
        <x:v>Direct to magnetics/RJ45; do not insert another PHY.</x:v>
      </x:c>
      <x:c r="O17" s="39" t="str">
        <x:v>WAN1 magnetics</x:v>
      </x:c>
      <x:c r="P17" s="39" t="str">
        <x:v>https://dl.radxa.com/cm5/v2210/radxa_cm5_v2210_pinout.xlsx</x:v>
      </x:c>
    </x:row>
    <x:row r="18" ht="30" customHeight="1">
      <x:c r="A18" s="39" t="str">
        <x:v>ETH-005</x:v>
      </x:c>
      <x:c r="B18" s="39" t="str">
        <x:v>WAN1</x:v>
      </x:c>
      <x:c r="C18" s="39" t="str">
        <x:v>Native GbE</x:v>
      </x:c>
      <x:c r="D18" s="39" t="str">
        <x:v>PHY1_MDI3-</x:v>
      </x:c>
      <x:c r="E18" s="39" t="str">
        <x:v>U13-A</x:v>
      </x:c>
      <x:c r="F18" s="79" t="n">
        <x:v>5</x:v>
      </x:c>
      <x:c r="G18" s="39" t="str">
        <x:v>PHY1_MDI3-</x:v>
      </x:c>
      <x:c r="H18" s="39" t="str">
        <x:v>-</x:v>
      </x:c>
      <x:c r="I18" s="39" t="str">
        <x:v>Native PHY MDI</x:v>
      </x:c>
      <x:c r="J18" s="39" t="str">
        <x:v>Bidirectional</x:v>
      </x:c>
      <x:c r="K18" s="39" t="str">
        <x:v>100 ohm differential</x:v>
      </x:c>
      <x:c r="L18" s="39" t="str">
        <x:v>LOCKED</x:v>
      </x:c>
      <x:c r="M18" s="39" t="str">
        <x:v>WAN1_MDI3_N</x:v>
      </x:c>
      <x:c r="N18" s="39" t="str">
        <x:v>Direct to magnetics/RJ45; do not insert another PHY.</x:v>
      </x:c>
      <x:c r="O18" s="39" t="str">
        <x:v>WAN1 magnetics</x:v>
      </x:c>
      <x:c r="P18" s="39" t="str">
        <x:v>https://dl.radxa.com/cm5/v2210/radxa_cm5_v2210_pinout.xlsx</x:v>
      </x:c>
    </x:row>
    <x:row r="19" ht="30" customHeight="1">
      <x:c r="A19" s="39" t="str">
        <x:v>ETH-004</x:v>
      </x:c>
      <x:c r="B19" s="39" t="str">
        <x:v>WAN1</x:v>
      </x:c>
      <x:c r="C19" s="39" t="str">
        <x:v>Native GbE</x:v>
      </x:c>
      <x:c r="D19" s="39" t="str">
        <x:v>PHY1_MDI1+</x:v>
      </x:c>
      <x:c r="E19" s="39" t="str">
        <x:v>U13-A</x:v>
      </x:c>
      <x:c r="F19" s="79" t="n">
        <x:v>4</x:v>
      </x:c>
      <x:c r="G19" s="39" t="str">
        <x:v>PHY1_MDI1+</x:v>
      </x:c>
      <x:c r="H19" s="39" t="str">
        <x:v>-</x:v>
      </x:c>
      <x:c r="I19" s="39" t="str">
        <x:v>Native PHY MDI</x:v>
      </x:c>
      <x:c r="J19" s="39" t="str">
        <x:v>Bidirectional</x:v>
      </x:c>
      <x:c r="K19" s="39" t="str">
        <x:v>100 ohm differential</x:v>
      </x:c>
      <x:c r="L19" s="39" t="str">
        <x:v>LOCKED</x:v>
      </x:c>
      <x:c r="M19" s="39" t="str">
        <x:v>WAN1_MDI1_P</x:v>
      </x:c>
      <x:c r="N19" s="39" t="str">
        <x:v>Direct to magnetics/RJ45; do not insert another PHY.</x:v>
      </x:c>
      <x:c r="O19" s="39" t="str">
        <x:v>WAN1 magnetics</x:v>
      </x:c>
      <x:c r="P19" s="39" t="str">
        <x:v>https://dl.radxa.com/cm5/v2210/radxa_cm5_v2210_pinout.xlsx</x:v>
      </x:c>
    </x:row>
    <x:row r="20" ht="30" customHeight="1">
      <x:c r="A20" s="39" t="str">
        <x:v>ETH-006</x:v>
      </x:c>
      <x:c r="B20" s="39" t="str">
        <x:v>WAN1</x:v>
      </x:c>
      <x:c r="C20" s="39" t="str">
        <x:v>Native GbE</x:v>
      </x:c>
      <x:c r="D20" s="39" t="str">
        <x:v>PHY1_MDI1-</x:v>
      </x:c>
      <x:c r="E20" s="39" t="str">
        <x:v>U13-A</x:v>
      </x:c>
      <x:c r="F20" s="79" t="n">
        <x:v>6</x:v>
      </x:c>
      <x:c r="G20" s="39" t="str">
        <x:v>PHY1_MDI1-</x:v>
      </x:c>
      <x:c r="H20" s="39" t="str">
        <x:v>-</x:v>
      </x:c>
      <x:c r="I20" s="39" t="str">
        <x:v>Native PHY MDI</x:v>
      </x:c>
      <x:c r="J20" s="39" t="str">
        <x:v>Bidirectional</x:v>
      </x:c>
      <x:c r="K20" s="39" t="str">
        <x:v>100 ohm differential</x:v>
      </x:c>
      <x:c r="L20" s="39" t="str">
        <x:v>LOCKED</x:v>
      </x:c>
      <x:c r="M20" s="39" t="str">
        <x:v>WAN1_MDI1_N</x:v>
      </x:c>
      <x:c r="N20" s="39" t="str">
        <x:v>Direct to magnetics/RJ45; do not insert another PHY.</x:v>
      </x:c>
      <x:c r="O20" s="39" t="str">
        <x:v>WAN1 magnetics</x:v>
      </x:c>
      <x:c r="P20" s="39" t="str">
        <x:v>https://dl.radxa.com/cm5/v2210/radxa_cm5_v2210_pinout.xlsx</x:v>
      </x:c>
    </x:row>
    <x:row r="21" ht="30" customHeight="1">
      <x:c r="A21" s="39" t="str">
        <x:v>ETH-011</x:v>
      </x:c>
      <x:c r="B21" s="39" t="str">
        <x:v>WAN1</x:v>
      </x:c>
      <x:c r="C21" s="39" t="str">
        <x:v>Native GbE</x:v>
      </x:c>
      <x:c r="D21" s="39" t="str">
        <x:v>PHY1_MDI2+</x:v>
      </x:c>
      <x:c r="E21" s="39" t="str">
        <x:v>U13-A</x:v>
      </x:c>
      <x:c r="F21" s="79" t="n">
        <x:v>11</x:v>
      </x:c>
      <x:c r="G21" s="39" t="str">
        <x:v>PHY1_MDI2+</x:v>
      </x:c>
      <x:c r="H21" s="39" t="str">
        <x:v>-</x:v>
      </x:c>
      <x:c r="I21" s="39" t="str">
        <x:v>Native PHY MDI</x:v>
      </x:c>
      <x:c r="J21" s="39" t="str">
        <x:v>Bidirectional</x:v>
      </x:c>
      <x:c r="K21" s="39" t="str">
        <x:v>100 ohm differential</x:v>
      </x:c>
      <x:c r="L21" s="39" t="str">
        <x:v>LOCKED</x:v>
      </x:c>
      <x:c r="M21" s="39" t="str">
        <x:v>WAN1_MDI2_P</x:v>
      </x:c>
      <x:c r="N21" s="39" t="str">
        <x:v>Direct to magnetics/RJ45; do not insert another PHY.</x:v>
      </x:c>
      <x:c r="O21" s="39" t="str">
        <x:v>WAN1 magnetics</x:v>
      </x:c>
      <x:c r="P21" s="39" t="str">
        <x:v>https://dl.radxa.com/cm5/v2210/radxa_cm5_v2210_pinout.xlsx</x:v>
      </x:c>
    </x:row>
    <x:row r="22" ht="30" customHeight="1">
      <x:c r="A22" s="39" t="str">
        <x:v>ETH-009</x:v>
      </x:c>
      <x:c r="B22" s="39" t="str">
        <x:v>WAN1</x:v>
      </x:c>
      <x:c r="C22" s="39" t="str">
        <x:v>Native GbE</x:v>
      </x:c>
      <x:c r="D22" s="39" t="str">
        <x:v>PHY1_MDI2-</x:v>
      </x:c>
      <x:c r="E22" s="39" t="str">
        <x:v>U13-A</x:v>
      </x:c>
      <x:c r="F22" s="79" t="n">
        <x:v>9</x:v>
      </x:c>
      <x:c r="G22" s="39" t="str">
        <x:v>PHY1_MDI2-</x:v>
      </x:c>
      <x:c r="H22" s="39" t="str">
        <x:v>-</x:v>
      </x:c>
      <x:c r="I22" s="39" t="str">
        <x:v>Native PHY MDI</x:v>
      </x:c>
      <x:c r="J22" s="39" t="str">
        <x:v>Bidirectional</x:v>
      </x:c>
      <x:c r="K22" s="39" t="str">
        <x:v>100 ohm differential</x:v>
      </x:c>
      <x:c r="L22" s="39" t="str">
        <x:v>LOCKED</x:v>
      </x:c>
      <x:c r="M22" s="39" t="str">
        <x:v>WAN1_MDI2_N</x:v>
      </x:c>
      <x:c r="N22" s="39" t="str">
        <x:v>Direct to magnetics/RJ45; do not insert another PHY.</x:v>
      </x:c>
      <x:c r="O22" s="39" t="str">
        <x:v>WAN1 magnetics</x:v>
      </x:c>
      <x:c r="P22" s="39" t="str">
        <x:v>https://dl.radxa.com/cm5/v2210/radxa_cm5_v2210_pinout.xlsx</x:v>
      </x:c>
    </x:row>
    <x:row r="23" ht="30" customHeight="1">
      <x:c r="A23" s="39" t="str">
        <x:v>ETH-012</x:v>
      </x:c>
      <x:c r="B23" s="39" t="str">
        <x:v>WAN1</x:v>
      </x:c>
      <x:c r="C23" s="39" t="str">
        <x:v>Native GbE</x:v>
      </x:c>
      <x:c r="D23" s="39" t="str">
        <x:v>PHY1_MDI0+</x:v>
      </x:c>
      <x:c r="E23" s="39" t="str">
        <x:v>U13-A</x:v>
      </x:c>
      <x:c r="F23" s="79" t="n">
        <x:v>12</x:v>
      </x:c>
      <x:c r="G23" s="39" t="str">
        <x:v>PHY1_MDI0+</x:v>
      </x:c>
      <x:c r="H23" s="39" t="str">
        <x:v>-</x:v>
      </x:c>
      <x:c r="I23" s="39" t="str">
        <x:v>Native PHY MDI</x:v>
      </x:c>
      <x:c r="J23" s="39" t="str">
        <x:v>Bidirectional</x:v>
      </x:c>
      <x:c r="K23" s="39" t="str">
        <x:v>100 ohm differential</x:v>
      </x:c>
      <x:c r="L23" s="39" t="str">
        <x:v>LOCKED</x:v>
      </x:c>
      <x:c r="M23" s="39" t="str">
        <x:v>WAN1_MDI0_P</x:v>
      </x:c>
      <x:c r="N23" s="39" t="str">
        <x:v>Direct to magnetics/RJ45; do not insert another PHY.</x:v>
      </x:c>
      <x:c r="O23" s="39" t="str">
        <x:v>WAN1 magnetics</x:v>
      </x:c>
      <x:c r="P23" s="39" t="str">
        <x:v>https://dl.radxa.com/cm5/v2210/radxa_cm5_v2210_pinout.xlsx</x:v>
      </x:c>
    </x:row>
    <x:row r="24" ht="30" customHeight="1">
      <x:c r="A24" s="39" t="str">
        <x:v>ETH-010</x:v>
      </x:c>
      <x:c r="B24" s="39" t="str">
        <x:v>WAN1</x:v>
      </x:c>
      <x:c r="C24" s="39" t="str">
        <x:v>Native GbE</x:v>
      </x:c>
      <x:c r="D24" s="39" t="str">
        <x:v>PHY1_MDI0-</x:v>
      </x:c>
      <x:c r="E24" s="39" t="str">
        <x:v>U13-A</x:v>
      </x:c>
      <x:c r="F24" s="79" t="n">
        <x:v>10</x:v>
      </x:c>
      <x:c r="G24" s="39" t="str">
        <x:v>PHY1_MDI0-</x:v>
      </x:c>
      <x:c r="H24" s="39" t="str">
        <x:v>-</x:v>
      </x:c>
      <x:c r="I24" s="39" t="str">
        <x:v>Native PHY MDI</x:v>
      </x:c>
      <x:c r="J24" s="39" t="str">
        <x:v>Bidirectional</x:v>
      </x:c>
      <x:c r="K24" s="39" t="str">
        <x:v>100 ohm differential</x:v>
      </x:c>
      <x:c r="L24" s="39" t="str">
        <x:v>LOCKED</x:v>
      </x:c>
      <x:c r="M24" s="39" t="str">
        <x:v>WAN1_MDI0_N</x:v>
      </x:c>
      <x:c r="N24" s="39" t="str">
        <x:v>Direct to magnetics/RJ45; do not insert another PHY.</x:v>
      </x:c>
      <x:c r="O24" s="39" t="str">
        <x:v>WAN1 magnetics</x:v>
      </x:c>
      <x:c r="P24" s="39" t="str">
        <x:v>https://dl.radxa.com/cm5/v2210/radxa_cm5_v2210_pinout.xlsx</x:v>
      </x:c>
    </x:row>
    <x:row r="25" ht="30" customHeight="1">
      <x:c r="A25" s="39" t="str">
        <x:v>ETH-15</x:v>
      </x:c>
      <x:c r="B25" s="39" t="str">
        <x:v>WAN1</x:v>
      </x:c>
      <x:c r="C25" s="39" t="str">
        <x:v>Native GbE</x:v>
      </x:c>
      <x:c r="D25" s="39" t="str">
        <x:v>PHY1_LED2_Y</x:v>
      </x:c>
      <x:c r="E25" s="39" t="str">
        <x:v>U13-A</x:v>
      </x:c>
      <x:c r="F25" s="79" t="n">
        <x:v>15</x:v>
      </x:c>
      <x:c r="G25" s="39" t="str">
        <x:v>PHY1_LED2_Y</x:v>
      </x:c>
      <x:c r="H25" s="39" t="str">
        <x:v>-</x:v>
      </x:c>
      <x:c r="I25" s="39" t="str">
        <x:v>Native PHY LED</x:v>
      </x:c>
      <x:c r="J25" s="39" t="str">
        <x:v>Output</x:v>
      </x:c>
      <x:c r="K25" s="39" t="str">
        <x:v>3.3 V LED</x:v>
      </x:c>
      <x:c r="L25" s="39" t="str">
        <x:v>LOCKED</x:v>
      </x:c>
      <x:c r="M25" s="39" t="str">
        <x:v>WAN1_LED2</x:v>
      </x:c>
      <x:c r="N25" s="39" t="str">
        <x:v>Use the official reference LED drive method and current limits.</x:v>
      </x:c>
      <x:c r="O25" s="39" t="str">
        <x:v>WAN1 RJ45 LEDs</x:v>
      </x:c>
      <x:c r="P25" s="39" t="str">
        <x:v>https://dl.radxa.com/cm5/v2210/radxa_cm5_v2210_pinout.xlsx</x:v>
      </x:c>
    </x:row>
    <x:row r="26" ht="30" customHeight="1">
      <x:c r="A26" s="39" t="str">
        <x:v>ETH-17</x:v>
      </x:c>
      <x:c r="B26" s="39" t="str">
        <x:v>WAN1</x:v>
      </x:c>
      <x:c r="C26" s="39" t="str">
        <x:v>Native GbE</x:v>
      </x:c>
      <x:c r="D26" s="39" t="str">
        <x:v>PHY1_LED1_G</x:v>
      </x:c>
      <x:c r="E26" s="39" t="str">
        <x:v>U13-A</x:v>
      </x:c>
      <x:c r="F26" s="79" t="n">
        <x:v>17</x:v>
      </x:c>
      <x:c r="G26" s="39" t="str">
        <x:v>PHY1_LED1_G</x:v>
      </x:c>
      <x:c r="H26" s="39" t="str">
        <x:v>-</x:v>
      </x:c>
      <x:c r="I26" s="39" t="str">
        <x:v>Native PHY LED</x:v>
      </x:c>
      <x:c r="J26" s="39" t="str">
        <x:v>Output</x:v>
      </x:c>
      <x:c r="K26" s="39" t="str">
        <x:v>3.3 V LED</x:v>
      </x:c>
      <x:c r="L26" s="39" t="str">
        <x:v>LOCKED</x:v>
      </x:c>
      <x:c r="M26" s="39" t="str">
        <x:v>WAN1_LED1</x:v>
      </x:c>
      <x:c r="N26" s="39" t="str">
        <x:v>Use the official reference LED drive method and current limits.</x:v>
      </x:c>
      <x:c r="O26" s="39" t="str">
        <x:v>WAN1 RJ45 LEDs</x:v>
      </x:c>
      <x:c r="P26" s="39" t="str">
        <x:v>https://dl.radxa.com/cm5/v2210/radxa_cm5_v2210_pinout.xlsx</x:v>
      </x:c>
    </x:row>
    <x:row r="27" ht="30" customHeight="1">
      <x:c r="A27" s="39" t="str">
        <x:v>ETH-19</x:v>
      </x:c>
      <x:c r="B27" s="39" t="str">
        <x:v>WAN1</x:v>
      </x:c>
      <x:c r="C27" s="39" t="str">
        <x:v>Native GbE</x:v>
      </x:c>
      <x:c r="D27" s="39" t="str">
        <x:v>PHY1_LED0_Y1</x:v>
      </x:c>
      <x:c r="E27" s="39" t="str">
        <x:v>U13-A</x:v>
      </x:c>
      <x:c r="F27" s="79" t="n">
        <x:v>19</x:v>
      </x:c>
      <x:c r="G27" s="39" t="str">
        <x:v>PHY1_LED0_Y1</x:v>
      </x:c>
      <x:c r="H27" s="39" t="str">
        <x:v>-</x:v>
      </x:c>
      <x:c r="I27" s="39" t="str">
        <x:v>Native PHY LED</x:v>
      </x:c>
      <x:c r="J27" s="39" t="str">
        <x:v>Output</x:v>
      </x:c>
      <x:c r="K27" s="39" t="str">
        <x:v>3.3 V LED</x:v>
      </x:c>
      <x:c r="L27" s="39" t="str">
        <x:v>LOCKED</x:v>
      </x:c>
      <x:c r="M27" s="39" t="str">
        <x:v>WAN1_LED0</x:v>
      </x:c>
      <x:c r="N27" s="39" t="str">
        <x:v>Use the official reference LED drive method and current limits.</x:v>
      </x:c>
      <x:c r="O27" s="39" t="str">
        <x:v>WAN1 RJ45 LEDs</x:v>
      </x:c>
      <x:c r="P27" s="39" t="str">
        <x:v>https://dl.radxa.com/cm5/v2210/radxa_cm5_v2210_pinout.xlsx</x:v>
      </x:c>
    </x:row>
    <x:row r="28" ht="30" customHeight="1">
      <x:c r="A28" s="39" t="str">
        <x:v>PCIE-024</x:v>
      </x:c>
      <x:c r="B28" s="39" t="str">
        <x:v>Network fabric</x:v>
      </x:c>
      <x:c r="C28" s="39" t="str">
        <x:v>PCIe Gen2 x1</x:v>
      </x:c>
      <x:c r="D28" s="39" t="str">
        <x:v>PCIE20X1_2_WAKEN_M0</x:v>
      </x:c>
      <x:c r="E28" s="39" t="str">
        <x:v>U13-A</x:v>
      </x:c>
      <x:c r="F28" s="79" t="n">
        <x:v>24</x:v>
      </x:c>
      <x:c r="G28" s="39" t="str">
        <x:v>PCIE20X1_2_WAKEN_M0</x:v>
      </x:c>
      <x:c r="H28" s="39" t="str">
        <x:v>AW31</x:v>
      </x:c>
      <x:c r="I28" s="39" t="str">
        <x:v>PCIE20X1_2_WAKEN_M0</x:v>
      </x:c>
      <x:c r="J28" s="39" t="str">
        <x:v>Input</x:v>
      </x:c>
      <x:c r="K28" s="39" t="str">
        <x:v>3.3 V sideband</x:v>
      </x:c>
      <x:c r="L28" s="39" t="str">
        <x:v>LOCKED</x:v>
      </x:c>
      <x:c r="M28" s="39" t="str">
        <x:v>PCIE_UP_WAKE_N</x:v>
      </x:c>
      <x:c r="N28" s="39" t="str">
        <x:v>Sideband is dedicated to switch upstream port.</x:v>
      </x:c>
      <x:c r="O28" s="39" t="str">
        <x:v>PI7C9X2G608GP upstream</x:v>
      </x:c>
      <x:c r="P28" s="39" t="str">
        <x:v>https://dl.radxa.com/cm5/v2210/radxa_cm5_v2210_pinout.xlsx</x:v>
      </x:c>
    </x:row>
    <x:row r="29" ht="30" customHeight="1">
      <x:c r="A29" s="39" t="str">
        <x:v>PCIE-102</x:v>
      </x:c>
      <x:c r="B29" s="39" t="str">
        <x:v>Network fabric</x:v>
      </x:c>
      <x:c r="C29" s="39" t="str">
        <x:v>PCIe Gen2 x1</x:v>
      </x:c>
      <x:c r="D29" s="39" t="str">
        <x:v>PCIE20X1_2_CLKREQN_M0</x:v>
      </x:c>
      <x:c r="E29" s="39" t="str">
        <x:v>U13-B</x:v>
      </x:c>
      <x:c r="F29" s="79" t="n">
        <x:v>102</x:v>
      </x:c>
      <x:c r="G29" s="39" t="str">
        <x:v>PCIE20X1_2_CLKREQN_M0</x:v>
      </x:c>
      <x:c r="H29" s="39" t="str">
        <x:v>AU30</x:v>
      </x:c>
      <x:c r="I29" s="39" t="str">
        <x:v>PCIE20X1_2_CLKREQN_M0</x:v>
      </x:c>
      <x:c r="J29" s="39" t="str">
        <x:v>Input</x:v>
      </x:c>
      <x:c r="K29" s="39" t="str">
        <x:v>3.3 V sideband</x:v>
      </x:c>
      <x:c r="L29" s="39" t="str">
        <x:v>LOCKED</x:v>
      </x:c>
      <x:c r="M29" s="39" t="str">
        <x:v>PCIE_UP_CLKREQ_N</x:v>
      </x:c>
      <x:c r="N29" s="39" t="str">
        <x:v>Sideband is dedicated to switch upstream port.</x:v>
      </x:c>
      <x:c r="O29" s="39" t="str">
        <x:v>PI7C9X2G608GP upstream</x:v>
      </x:c>
      <x:c r="P29" s="39" t="str">
        <x:v>https://dl.radxa.com/cm5/v2210/radxa_cm5_v2210_pinout.xlsx</x:v>
      </x:c>
    </x:row>
    <x:row r="30" ht="30" customHeight="1">
      <x:c r="A30" s="39" t="str">
        <x:v>PCIE-109</x:v>
      </x:c>
      <x:c r="B30" s="39" t="str">
        <x:v>Network fabric</x:v>
      </x:c>
      <x:c r="C30" s="39" t="str">
        <x:v>PCIe Gen2 x1</x:v>
      </x:c>
      <x:c r="D30" s="39" t="str">
        <x:v>PCIE20X1_2_PERSTN_M0</x:v>
      </x:c>
      <x:c r="E30" s="39" t="str">
        <x:v>U13-B</x:v>
      </x:c>
      <x:c r="F30" s="79" t="n">
        <x:v>109</x:v>
      </x:c>
      <x:c r="G30" s="39" t="str">
        <x:v>PCIE20X1_2_PERSTN_M0</x:v>
      </x:c>
      <x:c r="H30" s="39" t="str">
        <x:v>AY27</x:v>
      </x:c>
      <x:c r="I30" s="39" t="str">
        <x:v>PCIE20X1_2_PERSTN_M0</x:v>
      </x:c>
      <x:c r="J30" s="39" t="str">
        <x:v>Output</x:v>
      </x:c>
      <x:c r="K30" s="39" t="str">
        <x:v>3.3 V sideband</x:v>
      </x:c>
      <x:c r="L30" s="39" t="str">
        <x:v>LOCKED</x:v>
      </x:c>
      <x:c r="M30" s="39" t="str">
        <x:v>PCIE_UP_PERST_N</x:v>
      </x:c>
      <x:c r="N30" s="39" t="str">
        <x:v>Host reset to PCIe switch; obey rail and reference-clock timing.</x:v>
      </x:c>
      <x:c r="O30" s="39" t="str">
        <x:v>PI7C9X2G608GP upstream</x:v>
      </x:c>
      <x:c r="P30" s="39" t="str">
        <x:v>https://dl.radxa.com/cm5/v2210/radxa_cm5_v2210_pinout.xlsx</x:v>
      </x:c>
    </x:row>
    <x:row r="31" ht="30" customHeight="1">
      <x:c r="A31" s="39" t="str">
        <x:v>PCIE-110</x:v>
      </x:c>
      <x:c r="B31" s="39" t="str">
        <x:v>Network fabric</x:v>
      </x:c>
      <x:c r="C31" s="39" t="str">
        <x:v>PCIe Gen2 x1</x:v>
      </x:c>
      <x:c r="D31" s="39" t="str">
        <x:v>PCIE20_0_REFCLKP</x:v>
      </x:c>
      <x:c r="E31" s="39" t="str">
        <x:v>U13-B</x:v>
      </x:c>
      <x:c r="F31" s="79" t="n">
        <x:v>110</x:v>
      </x:c>
      <x:c r="G31" s="39" t="str">
        <x:v>PCIE20_0_REFCLKP</x:v>
      </x:c>
      <x:c r="H31" s="39" t="str">
        <x:v>L42</x:v>
      </x:c>
      <x:c r="I31" s="39" t="str">
        <x:v>PCIE20_0_REFCLKP</x:v>
      </x:c>
      <x:c r="J31" s="39" t="str">
        <x:v>Output</x:v>
      </x:c>
      <x:c r="K31" s="39" t="str">
        <x:v>85 ohm differential</x:v>
      </x:c>
      <x:c r="L31" s="39" t="str">
        <x:v>LOCKED</x:v>
      </x:c>
      <x:c r="M31" s="39" t="str">
        <x:v>PCIE_UP_REFCLK_P</x:v>
      </x:c>
      <x:c r="N31" s="39" t="str">
        <x:v>Route as matched PCIe clock pair.</x:v>
      </x:c>
      <x:c r="O31" s="39" t="str">
        <x:v>PI7C9X2G608GP upstream</x:v>
      </x:c>
      <x:c r="P31" s="39" t="str">
        <x:v>https://dl.radxa.com/cm5/v2210/radxa_cm5_v2210_pinout.xlsx</x:v>
      </x:c>
    </x:row>
    <x:row r="32" ht="30" customHeight="1">
      <x:c r="A32" s="39" t="str">
        <x:v>PCIE-112</x:v>
      </x:c>
      <x:c r="B32" s="39" t="str">
        <x:v>Network fabric</x:v>
      </x:c>
      <x:c r="C32" s="39" t="str">
        <x:v>PCIe Gen2 x1</x:v>
      </x:c>
      <x:c r="D32" s="39" t="str">
        <x:v>PCIE20_0_REFCLKN</x:v>
      </x:c>
      <x:c r="E32" s="39" t="str">
        <x:v>U13-B</x:v>
      </x:c>
      <x:c r="F32" s="79" t="n">
        <x:v>112</x:v>
      </x:c>
      <x:c r="G32" s="39" t="str">
        <x:v>PCIE20_0_REFCLKN</x:v>
      </x:c>
      <x:c r="H32" s="39" t="str">
        <x:v>K41</x:v>
      </x:c>
      <x:c r="I32" s="39" t="str">
        <x:v>PCIE20_0_REFCLKN</x:v>
      </x:c>
      <x:c r="J32" s="39" t="str">
        <x:v>Output</x:v>
      </x:c>
      <x:c r="K32" s="39" t="str">
        <x:v>85 ohm differential</x:v>
      </x:c>
      <x:c r="L32" s="39" t="str">
        <x:v>LOCKED</x:v>
      </x:c>
      <x:c r="M32" s="39" t="str">
        <x:v>PCIE_UP_REFCLK_N</x:v>
      </x:c>
      <x:c r="N32" s="39" t="str">
        <x:v>Route as matched PCIe clock pair.</x:v>
      </x:c>
      <x:c r="O32" s="39" t="str">
        <x:v>PI7C9X2G608GP upstream</x:v>
      </x:c>
      <x:c r="P32" s="39" t="str">
        <x:v>https://dl.radxa.com/cm5/v2210/radxa_cm5_v2210_pinout.xlsx</x:v>
      </x:c>
    </x:row>
    <x:row r="33" ht="30" customHeight="1">
      <x:c r="A33" s="39" t="str">
        <x:v>PCIE-116</x:v>
      </x:c>
      <x:c r="B33" s="39" t="str">
        <x:v>Network fabric</x:v>
      </x:c>
      <x:c r="C33" s="39" t="str">
        <x:v>PCIe Gen2 x1</x:v>
      </x:c>
      <x:c r="D33" s="39" t="str">
        <x:v>PCIE20_0_RXP</x:v>
      </x:c>
      <x:c r="E33" s="39" t="str">
        <x:v>U13-B</x:v>
      </x:c>
      <x:c r="F33" s="79" t="n">
        <x:v>116</x:v>
      </x:c>
      <x:c r="G33" s="39" t="str">
        <x:v>PCIE20_0_RXP</x:v>
      </x:c>
      <x:c r="H33" s="39" t="str">
        <x:v>J42</x:v>
      </x:c>
      <x:c r="I33" s="39" t="str">
        <x:v>PCIE20_0_RXP</x:v>
      </x:c>
      <x:c r="J33" s="39" t="str">
        <x:v>Input</x:v>
      </x:c>
      <x:c r="K33" s="39" t="str">
        <x:v>85 ohm differential</x:v>
      </x:c>
      <x:c r="L33" s="39" t="str">
        <x:v>LOCKED</x:v>
      </x:c>
      <x:c r="M33" s="39" t="str">
        <x:v>PCIE_UP_RX_P_CM5</x:v>
      </x:c>
      <x:c r="N33" s="39" t="str">
        <x:v>Connect to switch TX_P; direction is named at the CM5.</x:v>
      </x:c>
      <x:c r="O33" s="39" t="str">
        <x:v>PI7C9X2G608GP upstream</x:v>
      </x:c>
      <x:c r="P33" s="39" t="str">
        <x:v>https://dl.radxa.com/cm5/v2210/radxa_cm5_v2210_pinout.xlsx</x:v>
      </x:c>
    </x:row>
    <x:row r="34" ht="30" customHeight="1">
      <x:c r="A34" s="39" t="str">
        <x:v>PCIE-118</x:v>
      </x:c>
      <x:c r="B34" s="39" t="str">
        <x:v>Network fabric</x:v>
      </x:c>
      <x:c r="C34" s="39" t="str">
        <x:v>PCIe Gen2 x1</x:v>
      </x:c>
      <x:c r="D34" s="39" t="str">
        <x:v>PCIE20_0_RXN</x:v>
      </x:c>
      <x:c r="E34" s="39" t="str">
        <x:v>U13-B</x:v>
      </x:c>
      <x:c r="F34" s="79" t="n">
        <x:v>118</x:v>
      </x:c>
      <x:c r="G34" s="39" t="str">
        <x:v>PCIE20_0_RXN</x:v>
      </x:c>
      <x:c r="H34" s="39" t="str">
        <x:v>J41</x:v>
      </x:c>
      <x:c r="I34" s="39" t="str">
        <x:v>PCIE20_0_RXN</x:v>
      </x:c>
      <x:c r="J34" s="39" t="str">
        <x:v>Input</x:v>
      </x:c>
      <x:c r="K34" s="39" t="str">
        <x:v>85 ohm differential</x:v>
      </x:c>
      <x:c r="L34" s="39" t="str">
        <x:v>LOCKED</x:v>
      </x:c>
      <x:c r="M34" s="39" t="str">
        <x:v>PCIE_UP_RX_N_CM5</x:v>
      </x:c>
      <x:c r="N34" s="39" t="str">
        <x:v>Connect to switch TX_N; direction is named at the CM5.</x:v>
      </x:c>
      <x:c r="O34" s="39" t="str">
        <x:v>PI7C9X2G608GP upstream</x:v>
      </x:c>
      <x:c r="P34" s="39" t="str">
        <x:v>https://dl.radxa.com/cm5/v2210/radxa_cm5_v2210_pinout.xlsx</x:v>
      </x:c>
    </x:row>
    <x:row r="35" ht="30" customHeight="1">
      <x:c r="A35" s="39" t="str">
        <x:v>PCIE-122</x:v>
      </x:c>
      <x:c r="B35" s="39" t="str">
        <x:v>Network fabric</x:v>
      </x:c>
      <x:c r="C35" s="39" t="str">
        <x:v>PCIe Gen2 x1</x:v>
      </x:c>
      <x:c r="D35" s="39" t="str">
        <x:v>PCIE20_0_TXP</x:v>
      </x:c>
      <x:c r="E35" s="39" t="str">
        <x:v>U13-B</x:v>
      </x:c>
      <x:c r="F35" s="79" t="n">
        <x:v>122</x:v>
      </x:c>
      <x:c r="G35" s="39" t="str">
        <x:v>PCIE20_0_TXP</x:v>
      </x:c>
      <x:c r="H35" s="39" t="str">
        <x:v>H41</x:v>
      </x:c>
      <x:c r="I35" s="39" t="str">
        <x:v>PCIE20_0_TXP</x:v>
      </x:c>
      <x:c r="J35" s="39" t="str">
        <x:v>Output</x:v>
      </x:c>
      <x:c r="K35" s="39" t="str">
        <x:v>85 ohm differential</x:v>
      </x:c>
      <x:c r="L35" s="39" t="str">
        <x:v>LOCKED</x:v>
      </x:c>
      <x:c r="M35" s="39" t="str">
        <x:v>PCIE_UP_TX_P_CM5</x:v>
      </x:c>
      <x:c r="N35" s="39" t="str">
        <x:v>Connect to switch RX_P; direction is named at the CM5.</x:v>
      </x:c>
      <x:c r="O35" s="39" t="str">
        <x:v>PI7C9X2G608GP upstream</x:v>
      </x:c>
      <x:c r="P35" s="39" t="str">
        <x:v>https://dl.radxa.com/cm5/v2210/radxa_cm5_v2210_pinout.xlsx</x:v>
      </x:c>
    </x:row>
    <x:row r="36" ht="30" customHeight="1">
      <x:c r="A36" s="39" t="str">
        <x:v>PCIE-124</x:v>
      </x:c>
      <x:c r="B36" s="39" t="str">
        <x:v>Network fabric</x:v>
      </x:c>
      <x:c r="C36" s="39" t="str">
        <x:v>PCIe Gen2 x1</x:v>
      </x:c>
      <x:c r="D36" s="39" t="str">
        <x:v>PCIE20_0_TXN</x:v>
      </x:c>
      <x:c r="E36" s="39" t="str">
        <x:v>U13-B</x:v>
      </x:c>
      <x:c r="F36" s="79" t="n">
        <x:v>124</x:v>
      </x:c>
      <x:c r="G36" s="39" t="str">
        <x:v>PCIE20_0_TXN</x:v>
      </x:c>
      <x:c r="H36" s="39" t="str">
        <x:v>H42</x:v>
      </x:c>
      <x:c r="I36" s="39" t="str">
        <x:v>PCIE20_0_TXN</x:v>
      </x:c>
      <x:c r="J36" s="39" t="str">
        <x:v>Output</x:v>
      </x:c>
      <x:c r="K36" s="39" t="str">
        <x:v>85 ohm differential</x:v>
      </x:c>
      <x:c r="L36" s="39" t="str">
        <x:v>LOCKED</x:v>
      </x:c>
      <x:c r="M36" s="39" t="str">
        <x:v>PCIE_UP_TX_N_CM5</x:v>
      </x:c>
      <x:c r="N36" s="39" t="str">
        <x:v>Connect to switch RX_N; direction is named at the CM5.</x:v>
      </x:c>
      <x:c r="O36" s="39" t="str">
        <x:v>PI7C9X2G608GP upstream</x:v>
      </x:c>
      <x:c r="P36" s="39" t="str">
        <x:v>https://dl.radxa.com/cm5/v2210/radxa_cm5_v2210_pinout.xlsx</x:v>
      </x:c>
    </x:row>
    <x:row r="37" ht="30" customHeight="1">
      <x:c r="A37" s="39" t="str">
        <x:v>USB-W-051</x:v>
      </x:c>
      <x:c r="B37" s="39" t="str">
        <x:v>WWAN</x:v>
      </x:c>
      <x:c r="C37" s="39" t="str">
        <x:v>USB 3</x:v>
      </x:c>
      <x:c r="D37" s="39" t="str">
        <x:v>SuperSpeed TX+</x:v>
      </x:c>
      <x:c r="E37" s="39" t="str">
        <x:v>J1</x:v>
      </x:c>
      <x:c r="F37" s="79" t="n">
        <x:v>51</x:v>
      </x:c>
      <x:c r="G37" s="39" t="str">
        <x:v>USB30_2_SSTXP</x:v>
      </x:c>
      <x:c r="H37" s="39" t="str">
        <x:v>E41</x:v>
      </x:c>
      <x:c r="I37" s="39" t="str">
        <x:v>USB30_SSTXP</x:v>
      </x:c>
      <x:c r="J37" s="39" t="str">
        <x:v>Output</x:v>
      </x:c>
      <x:c r="K37" s="39" t="str">
        <x:v>90 ohm differential</x:v>
      </x:c>
      <x:c r="L37" s="39" t="str">
        <x:v>LOCKED</x:v>
      </x:c>
      <x:c r="M37" s="39" t="str">
        <x:v>WWAN_USB3_TX_P</x:v>
      </x:c>
      <x:c r="N37" s="39" t="str">
        <x:v>Selecting USB30_2 excludes PCIE20_2 and SATA30_2.</x:v>
      </x:c>
      <x:c r="O37" s="39" t="str">
        <x:v>M.2 B-Key 3042/3052</x:v>
      </x:c>
      <x:c r="P37" s="39" t="str">
        <x:v>https://dl.radxa.com/cm5/v2210/radxa_cm5_v2210_pinout.xlsx</x:v>
      </x:c>
    </x:row>
    <x:row r="38" ht="30" customHeight="1">
      <x:c r="A38" s="39" t="str">
        <x:v>USB-W-053</x:v>
      </x:c>
      <x:c r="B38" s="39" t="str">
        <x:v>WWAN</x:v>
      </x:c>
      <x:c r="C38" s="39" t="str">
        <x:v>USB 3</x:v>
      </x:c>
      <x:c r="D38" s="39" t="str">
        <x:v>SuperSpeed TX-</x:v>
      </x:c>
      <x:c r="E38" s="39" t="str">
        <x:v>J1</x:v>
      </x:c>
      <x:c r="F38" s="79" t="n">
        <x:v>53</x:v>
      </x:c>
      <x:c r="G38" s="39" t="str">
        <x:v>USB30_2_SSTXN</x:v>
      </x:c>
      <x:c r="H38" s="39" t="str">
        <x:v>D41</x:v>
      </x:c>
      <x:c r="I38" s="39" t="str">
        <x:v>USB30_SSTXN</x:v>
      </x:c>
      <x:c r="J38" s="39" t="str">
        <x:v>Output</x:v>
      </x:c>
      <x:c r="K38" s="39" t="str">
        <x:v>90 ohm differential</x:v>
      </x:c>
      <x:c r="L38" s="39" t="str">
        <x:v>LOCKED</x:v>
      </x:c>
      <x:c r="M38" s="39" t="str">
        <x:v>WWAN_USB3_TX_N</x:v>
      </x:c>
      <x:c r="N38" s="39" t="str">
        <x:v>Selecting USB30_2 excludes PCIE20_2 and SATA30_2.</x:v>
      </x:c>
      <x:c r="O38" s="39" t="str">
        <x:v>M.2 B-Key 3042/3052</x:v>
      </x:c>
      <x:c r="P38" s="39" t="str">
        <x:v>https://dl.radxa.com/cm5/v2210/radxa_cm5_v2210_pinout.xlsx</x:v>
      </x:c>
    </x:row>
    <x:row r="39" ht="30" customHeight="1">
      <x:c r="A39" s="39" t="str">
        <x:v>USB-W-057</x:v>
      </x:c>
      <x:c r="B39" s="39" t="str">
        <x:v>WWAN</x:v>
      </x:c>
      <x:c r="C39" s="39" t="str">
        <x:v>USB 3</x:v>
      </x:c>
      <x:c r="D39" s="39" t="str">
        <x:v>SuperSpeed RX+</x:v>
      </x:c>
      <x:c r="E39" s="39" t="str">
        <x:v>J1</x:v>
      </x:c>
      <x:c r="F39" s="79" t="n">
        <x:v>57</x:v>
      </x:c>
      <x:c r="G39" s="39" t="str">
        <x:v>USB30_2_SSRXP</x:v>
      </x:c>
      <x:c r="H39" s="39" t="str">
        <x:v>D42</x:v>
      </x:c>
      <x:c r="I39" s="39" t="str">
        <x:v>USB30_SSRXP</x:v>
      </x:c>
      <x:c r="J39" s="39" t="str">
        <x:v>Input</x:v>
      </x:c>
      <x:c r="K39" s="39" t="str">
        <x:v>90 ohm differential</x:v>
      </x:c>
      <x:c r="L39" s="39" t="str">
        <x:v>LOCKED</x:v>
      </x:c>
      <x:c r="M39" s="39" t="str">
        <x:v>WWAN_USB3_RX_P</x:v>
      </x:c>
      <x:c r="N39" s="39" t="str">
        <x:v>Selecting USB30_2 excludes PCIE20_2 and SATA30_2.</x:v>
      </x:c>
      <x:c r="O39" s="39" t="str">
        <x:v>M.2 B-Key 3042/3052</x:v>
      </x:c>
      <x:c r="P39" s="39" t="str">
        <x:v>https://dl.radxa.com/cm5/v2210/radxa_cm5_v2210_pinout.xlsx</x:v>
      </x:c>
    </x:row>
    <x:row r="40" ht="30" customHeight="1">
      <x:c r="A40" s="39" t="str">
        <x:v>USB-W-059</x:v>
      </x:c>
      <x:c r="B40" s="39" t="str">
        <x:v>WWAN</x:v>
      </x:c>
      <x:c r="C40" s="39" t="str">
        <x:v>USB 3</x:v>
      </x:c>
      <x:c r="D40" s="39" t="str">
        <x:v>SuperSpeed RX-</x:v>
      </x:c>
      <x:c r="E40" s="39" t="str">
        <x:v>J1</x:v>
      </x:c>
      <x:c r="F40" s="79" t="n">
        <x:v>59</x:v>
      </x:c>
      <x:c r="G40" s="39" t="str">
        <x:v>USB30_2_SSRXN</x:v>
      </x:c>
      <x:c r="H40" s="39" t="str">
        <x:v>C42</x:v>
      </x:c>
      <x:c r="I40" s="39" t="str">
        <x:v>USB30_SSRXN</x:v>
      </x:c>
      <x:c r="J40" s="39" t="str">
        <x:v>Input</x:v>
      </x:c>
      <x:c r="K40" s="39" t="str">
        <x:v>90 ohm differential</x:v>
      </x:c>
      <x:c r="L40" s="39" t="str">
        <x:v>LOCKED</x:v>
      </x:c>
      <x:c r="M40" s="39" t="str">
        <x:v>WWAN_USB3_RX_N</x:v>
      </x:c>
      <x:c r="N40" s="39" t="str">
        <x:v>Selecting USB30_2 excludes PCIE20_2 and SATA30_2.</x:v>
      </x:c>
      <x:c r="O40" s="39" t="str">
        <x:v>M.2 B-Key 3042/3052</x:v>
      </x:c>
      <x:c r="P40" s="39" t="str">
        <x:v>https://dl.radxa.com/cm5/v2210/radxa_cm5_v2210_pinout.xlsx</x:v>
      </x:c>
    </x:row>
    <x:row r="41" ht="30" customHeight="1">
      <x:c r="A41" s="39" t="str">
        <x:v>USB-W-063</x:v>
      </x:c>
      <x:c r="B41" s="39" t="str">
        <x:v>WWAN</x:v>
      </x:c>
      <x:c r="C41" s="39" t="str">
        <x:v>USB 2</x:v>
      </x:c>
      <x:c r="D41" s="39" t="str">
        <x:v>USB2 D+</x:v>
      </x:c>
      <x:c r="E41" s="39" t="str">
        <x:v>J1</x:v>
      </x:c>
      <x:c r="F41" s="79" t="n">
        <x:v>63</x:v>
      </x:c>
      <x:c r="G41" s="39" t="str">
        <x:v>USB20_HOST0_DP</x:v>
      </x:c>
      <x:c r="H41" s="39" t="str">
        <x:v>AW6</x:v>
      </x:c>
      <x:c r="I41" s="39" t="str">
        <x:v>USB20_HOST0_DP</x:v>
      </x:c>
      <x:c r="J41" s="39" t="str">
        <x:v>Bidirectional</x:v>
      </x:c>
      <x:c r="K41" s="39" t="str">
        <x:v>90 ohm differential</x:v>
      </x:c>
      <x:c r="L41" s="39" t="str">
        <x:v>LOCKED</x:v>
      </x:c>
      <x:c r="M41" s="39" t="str">
        <x:v>WWAN_USB2_DP</x:v>
      </x:c>
      <x:c r="N41" s="39" t="str">
        <x:v>Dedicated modem control/fallback pair.</x:v>
      </x:c>
      <x:c r="O41" s="39" t="str">
        <x:v>M.2 B-Key 3042/3052</x:v>
      </x:c>
      <x:c r="P41" s="39" t="str">
        <x:v>https://dl.radxa.com/cm5/v2210/radxa_cm5_v2210_pinout.xlsx</x:v>
      </x:c>
    </x:row>
    <x:row r="42" ht="30" customHeight="1">
      <x:c r="A42" s="39" t="str">
        <x:v>USB-W-065</x:v>
      </x:c>
      <x:c r="B42" s="39" t="str">
        <x:v>WWAN</x:v>
      </x:c>
      <x:c r="C42" s="39" t="str">
        <x:v>USB 2</x:v>
      </x:c>
      <x:c r="D42" s="39" t="str">
        <x:v>USB2 D-</x:v>
      </x:c>
      <x:c r="E42" s="39" t="str">
        <x:v>J1</x:v>
      </x:c>
      <x:c r="F42" s="79" t="n">
        <x:v>65</x:v>
      </x:c>
      <x:c r="G42" s="39" t="str">
        <x:v>USB20_HOST0_DM</x:v>
      </x:c>
      <x:c r="H42" s="39" t="str">
        <x:v>AV6</x:v>
      </x:c>
      <x:c r="I42" s="39" t="str">
        <x:v>USB20_HOST0_DM</x:v>
      </x:c>
      <x:c r="J42" s="39" t="str">
        <x:v>Bidirectional</x:v>
      </x:c>
      <x:c r="K42" s="39" t="str">
        <x:v>90 ohm differential</x:v>
      </x:c>
      <x:c r="L42" s="39" t="str">
        <x:v>LOCKED</x:v>
      </x:c>
      <x:c r="M42" s="39" t="str">
        <x:v>WWAN_USB2_DM</x:v>
      </x:c>
      <x:c r="N42" s="39" t="str">
        <x:v>Dedicated modem control/fallback pair.</x:v>
      </x:c>
      <x:c r="O42" s="39" t="str">
        <x:v>M.2 B-Key 3042/3052</x:v>
      </x:c>
      <x:c r="P42" s="39" t="str">
        <x:v>https://dl.radxa.com/cm5/v2210/radxa_cm5_v2210_pinout.xlsx</x:v>
      </x:c>
    </x:row>
    <x:row r="43" ht="30" customHeight="1">
      <x:c r="A43" s="39" t="str">
        <x:v>USB-T-045</x:v>
      </x:c>
      <x:c r="B43" s="39" t="str">
        <x:v>Touchscreen</x:v>
      </x:c>
      <x:c r="C43" s="39" t="str">
        <x:v>USB 2</x:v>
      </x:c>
      <x:c r="D43" s="39" t="str">
        <x:v>Touch data</x:v>
      </x:c>
      <x:c r="E43" s="39" t="str">
        <x:v>J1</x:v>
      </x:c>
      <x:c r="F43" s="79" t="n">
        <x:v>45</x:v>
      </x:c>
      <x:c r="G43" s="39" t="str">
        <x:v>USB20_HOST1_DP</x:v>
      </x:c>
      <x:c r="H43" s="39" t="str">
        <x:v>AV7</x:v>
      </x:c>
      <x:c r="I43" s="39" t="str">
        <x:v>USB20_HOST1_DP</x:v>
      </x:c>
      <x:c r="J43" s="39" t="str">
        <x:v>Bidirectional</x:v>
      </x:c>
      <x:c r="K43" s="39" t="str">
        <x:v>90 ohm differential</x:v>
      </x:c>
      <x:c r="L43" s="39" t="str">
        <x:v>CONDITIONAL</x:v>
      </x:c>
      <x:c r="M43" s="39" t="str">
        <x:v>TOUCH_USB_DP</x:v>
      </x:c>
      <x:c r="N43" s="39" t="str">
        <x:v>Bench-prove touch enumeration over USB2 contacts of the monitor SuperSpeed Type-B receptacle.</x:v>
      </x:c>
      <x:c r="O43" s="39" t="str">
        <x:v>Lid touchscreen touch</x:v>
      </x:c>
      <x:c r="P43" s="39" t="str">
        <x:v>https://dl.radxa.com/cm5/v2210/radxa_cm5_v2210_pinout.xlsx</x:v>
      </x:c>
    </x:row>
    <x:row r="44" ht="30" customHeight="1">
      <x:c r="A44" s="39" t="str">
        <x:v>USB-T-047</x:v>
      </x:c>
      <x:c r="B44" s="39" t="str">
        <x:v>Touchscreen</x:v>
      </x:c>
      <x:c r="C44" s="39" t="str">
        <x:v>USB 2</x:v>
      </x:c>
      <x:c r="D44" s="39" t="str">
        <x:v>Touch data</x:v>
      </x:c>
      <x:c r="E44" s="39" t="str">
        <x:v>J1</x:v>
      </x:c>
      <x:c r="F44" s="79" t="n">
        <x:v>47</x:v>
      </x:c>
      <x:c r="G44" s="39" t="str">
        <x:v>USB20_HOST1_DM</x:v>
      </x:c>
      <x:c r="H44" s="39" t="str">
        <x:v>AW7</x:v>
      </x:c>
      <x:c r="I44" s="39" t="str">
        <x:v>USB20_HOST1_DM</x:v>
      </x:c>
      <x:c r="J44" s="39" t="str">
        <x:v>Bidirectional</x:v>
      </x:c>
      <x:c r="K44" s="39" t="str">
        <x:v>90 ohm differential</x:v>
      </x:c>
      <x:c r="L44" s="39" t="str">
        <x:v>CONDITIONAL</x:v>
      </x:c>
      <x:c r="M44" s="39" t="str">
        <x:v>TOUCH_USB_DM</x:v>
      </x:c>
      <x:c r="N44" s="39" t="str">
        <x:v>Bench-prove touch enumeration over USB2 contacts of the monitor SuperSpeed Type-B receptacle.</x:v>
      </x:c>
      <x:c r="O44" s="39" t="str">
        <x:v>Lid touchscreen touch</x:v>
      </x:c>
      <x:c r="P44" s="39" t="str">
        <x:v>https://dl.radxa.com/cm5/v2210/radxa_cm5_v2210_pinout.xlsx</x:v>
      </x:c>
    </x:row>
    <x:row r="45" ht="30" customHeight="1">
      <x:c r="A45" s="39" t="str">
        <x:v>USB-R-101</x:v>
      </x:c>
      <x:c r="B45" s="39" t="str">
        <x:v>Recovery</x:v>
      </x:c>
      <x:c r="C45" s="39" t="str">
        <x:v>USB 2 OTG</x:v>
      </x:c>
      <x:c r="D45" s="39" t="str">
        <x:v>TYPEC0_USB20_OTG_ID</x:v>
      </x:c>
      <x:c r="E45" s="39" t="str">
        <x:v>U13-B</x:v>
      </x:c>
      <x:c r="F45" s="79" t="n">
        <x:v>101</x:v>
      </x:c>
      <x:c r="G45" s="39" t="str">
        <x:v>TYPEC0_USB20_OTG_ID</x:v>
      </x:c>
      <x:c r="H45" s="39" t="str">
        <x:v>AW10</x:v>
      </x:c>
      <x:c r="I45" s="39" t="str">
        <x:v>TYPEC0_USB20_OTG_ID</x:v>
      </x:c>
      <x:c r="J45" s="39" t="str">
        <x:v>Input</x:v>
      </x:c>
      <x:c r="K45" s="39" t="str">
        <x:v>USB2 / role</x:v>
      </x:c>
      <x:c r="L45" s="39" t="str">
        <x:v>LOCKED</x:v>
      </x:c>
      <x:c r="M45" s="39" t="str">
        <x:v>REC_USB_ID</x:v>
      </x:c>
      <x:c r="N45" s="39" t="str">
        <x:v>Connector/CC implementation must enforce the intended device role.</x:v>
      </x:c>
      <x:c r="O45" s="39" t="str">
        <x:v>Internal recovery USB-C</x:v>
      </x:c>
      <x:c r="P45" s="39" t="str">
        <x:v>https://dl.radxa.com/cm5/v2210/radxa_cm5_v2210_pinout.xlsx</x:v>
      </x:c>
    </x:row>
    <x:row r="46" ht="30" customHeight="1">
      <x:c r="A46" s="39" t="str">
        <x:v>USB-R-103</x:v>
      </x:c>
      <x:c r="B46" s="39" t="str">
        <x:v>Recovery</x:v>
      </x:c>
      <x:c r="C46" s="39" t="str">
        <x:v>USB 2 OTG</x:v>
      </x:c>
      <x:c r="D46" s="39" t="str">
        <x:v>TYPEC0_OTG_DM</x:v>
      </x:c>
      <x:c r="E46" s="39" t="str">
        <x:v>U13-B</x:v>
      </x:c>
      <x:c r="F46" s="79" t="n">
        <x:v>103</x:v>
      </x:c>
      <x:c r="G46" s="39" t="str">
        <x:v>TYPEC0_OTG_DM</x:v>
      </x:c>
      <x:c r="H46" s="39" t="str">
        <x:v>AY10</x:v>
      </x:c>
      <x:c r="I46" s="39" t="str">
        <x:v>TYPEC0_USB20_OTG_DM</x:v>
      </x:c>
      <x:c r="J46" s="39" t="str">
        <x:v>Bidirectional</x:v>
      </x:c>
      <x:c r="K46" s="39" t="str">
        <x:v>USB2 / role</x:v>
      </x:c>
      <x:c r="L46" s="39" t="str">
        <x:v>LOCKED</x:v>
      </x:c>
      <x:c r="M46" s="39" t="str">
        <x:v>REC_USB_DM</x:v>
      </x:c>
      <x:c r="N46" s="39" t="str">
        <x:v>Internal USB recovery path only.</x:v>
      </x:c>
      <x:c r="O46" s="39" t="str">
        <x:v>Internal recovery USB-C</x:v>
      </x:c>
      <x:c r="P46" s="39" t="str">
        <x:v>https://dl.radxa.com/cm5/v2210/radxa_cm5_v2210_pinout.xlsx</x:v>
      </x:c>
    </x:row>
    <x:row r="47" ht="30" customHeight="1">
      <x:c r="A47" s="39" t="str">
        <x:v>USB-R-105</x:v>
      </x:c>
      <x:c r="B47" s="39" t="str">
        <x:v>Recovery</x:v>
      </x:c>
      <x:c r="C47" s="39" t="str">
        <x:v>USB 2 OTG</x:v>
      </x:c>
      <x:c r="D47" s="39" t="str">
        <x:v>TYPEC0_OTG_DP</x:v>
      </x:c>
      <x:c r="E47" s="39" t="str">
        <x:v>U13-B</x:v>
      </x:c>
      <x:c r="F47" s="79" t="n">
        <x:v>105</x:v>
      </x:c>
      <x:c r="G47" s="39" t="str">
        <x:v>TYPEC0_OTG_DP</x:v>
      </x:c>
      <x:c r="H47" s="39" t="str">
        <x:v>AY11</x:v>
      </x:c>
      <x:c r="I47" s="39" t="str">
        <x:v>TYPEC0_USB20_OTG_DP</x:v>
      </x:c>
      <x:c r="J47" s="39" t="str">
        <x:v>Bidirectional</x:v>
      </x:c>
      <x:c r="K47" s="39" t="str">
        <x:v>USB2 / role</x:v>
      </x:c>
      <x:c r="L47" s="39" t="str">
        <x:v>LOCKED</x:v>
      </x:c>
      <x:c r="M47" s="39" t="str">
        <x:v>REC_USB_DP</x:v>
      </x:c>
      <x:c r="N47" s="39" t="str">
        <x:v>Internal USB recovery path only.</x:v>
      </x:c>
      <x:c r="O47" s="39" t="str">
        <x:v>Internal recovery USB-C</x:v>
      </x:c>
      <x:c r="P47" s="39" t="str">
        <x:v>https://dl.radxa.com/cm5/v2210/radxa_cm5_v2210_pinout.xlsx</x:v>
      </x:c>
    </x:row>
    <x:row r="48" ht="30" customHeight="1">
      <x:c r="A48" s="39" t="str">
        <x:v>USB-R-097</x:v>
      </x:c>
      <x:c r="B48" s="39" t="str">
        <x:v>Recovery</x:v>
      </x:c>
      <x:c r="C48" s="39" t="str">
        <x:v>USB 2 OTG</x:v>
      </x:c>
      <x:c r="D48" s="39" t="str">
        <x:v>TYPEC0_OTG_VBUSDET</x:v>
      </x:c>
      <x:c r="E48" s="39" t="str">
        <x:v>J1</x:v>
      </x:c>
      <x:c r="F48" s="79" t="n">
        <x:v>97</x:v>
      </x:c>
      <x:c r="G48" s="39" t="str">
        <x:v>TYPEC0_OTG_VBUSDET</x:v>
      </x:c>
      <x:c r="H48" s="39" t="str">
        <x:v>AV10</x:v>
      </x:c>
      <x:c r="I48" s="39" t="str">
        <x:v>TYPEC0_USB20_VBUSDET</x:v>
      </x:c>
      <x:c r="J48" s="39" t="str">
        <x:v>Input</x:v>
      </x:c>
      <x:c r="K48" s="39" t="str">
        <x:v>VBUS sense</x:v>
      </x:c>
      <x:c r="L48" s="39" t="str">
        <x:v>LOCKED</x:v>
      </x:c>
      <x:c r="M48" s="39" t="str">
        <x:v>REC_USB_VBUS_DET</x:v>
      </x:c>
      <x:c r="N48" s="39" t="str">
        <x:v>Protect and scale exactly as the official reference design.</x:v>
      </x:c>
      <x:c r="O48" s="39" t="str">
        <x:v>Internal recovery USB-C</x:v>
      </x:c>
      <x:c r="P48" s="39" t="str">
        <x:v>https://dl.radxa.com/cm5/v2210/radxa_cm5_v2210_pinout.xlsx</x:v>
      </x:c>
    </x:row>
    <x:row r="49" ht="30" customHeight="1">
      <x:c r="A49" s="39" t="str">
        <x:v>HDMI-170</x:v>
      </x:c>
      <x:c r="B49" s="39" t="str">
        <x:v>Touchscreen</x:v>
      </x:c>
      <x:c r="C49" s="39" t="str">
        <x:v>HDMI_TX0</x:v>
      </x:c>
      <x:c r="D49" s="39" t="str">
        <x:v>TMDS data 2+</x:v>
      </x:c>
      <x:c r="E49" s="39" t="str">
        <x:v>U13-B</x:v>
      </x:c>
      <x:c r="F49" s="79" t="n">
        <x:v>170</x:v>
      </x:c>
      <x:c r="G49" s="39" t="str">
        <x:v>HDMI0_TX2P</x:v>
      </x:c>
      <x:c r="H49" s="39" t="str">
        <x:v>BB7</x:v>
      </x:c>
      <x:c r="I49" s="39" t="str">
        <x:v>HDMI_TX0_D2P</x:v>
      </x:c>
      <x:c r="J49" s="39" t="str">
        <x:v>Output</x:v>
      </x:c>
      <x:c r="K49" s="39" t="str">
        <x:v>100 ohm differential</x:v>
      </x:c>
      <x:c r="L49" s="39" t="str">
        <x:v>LOCKED</x:v>
      </x:c>
      <x:c r="M49" s="39" t="str">
        <x:v>HDMI_D2_P</x:v>
      </x:c>
      <x:c r="N49" s="39" t="str">
        <x:v>Dedicated HDMI output; no stubs; place ESD at connector.</x:v>
      </x:c>
      <x:c r="O49" s="39" t="str">
        <x:v>Lid HDMI harness</x:v>
      </x:c>
      <x:c r="P49" s="39" t="str">
        <x:v>https://dl.radxa.com/cm5/v2210/radxa_cm5_v2210_pinout.xlsx</x:v>
      </x:c>
    </x:row>
    <x:row r="50" ht="30" customHeight="1">
      <x:c r="A50" s="39" t="str">
        <x:v>HDMI-172</x:v>
      </x:c>
      <x:c r="B50" s="39" t="str">
        <x:v>Touchscreen</x:v>
      </x:c>
      <x:c r="C50" s="39" t="str">
        <x:v>HDMI_TX0</x:v>
      </x:c>
      <x:c r="D50" s="39" t="str">
        <x:v>TMDS data 2-</x:v>
      </x:c>
      <x:c r="E50" s="39" t="str">
        <x:v>U13-B</x:v>
      </x:c>
      <x:c r="F50" s="79" t="n">
        <x:v>172</x:v>
      </x:c>
      <x:c r="G50" s="39" t="str">
        <x:v>HDMI0_TX2N</x:v>
      </x:c>
      <x:c r="H50" s="39" t="str">
        <x:v>BA7</x:v>
      </x:c>
      <x:c r="I50" s="39" t="str">
        <x:v>HDMI_TX0_D2N</x:v>
      </x:c>
      <x:c r="J50" s="39" t="str">
        <x:v>Output</x:v>
      </x:c>
      <x:c r="K50" s="39" t="str">
        <x:v>100 ohm differential</x:v>
      </x:c>
      <x:c r="L50" s="39" t="str">
        <x:v>LOCKED</x:v>
      </x:c>
      <x:c r="M50" s="39" t="str">
        <x:v>HDMI_D2_N</x:v>
      </x:c>
      <x:c r="N50" s="39" t="str">
        <x:v>Dedicated HDMI output; no stubs; place ESD at connector.</x:v>
      </x:c>
      <x:c r="O50" s="39" t="str">
        <x:v>Lid HDMI harness</x:v>
      </x:c>
      <x:c r="P50" s="39" t="str">
        <x:v>https://dl.radxa.com/cm5/v2210/radxa_cm5_v2210_pinout.xlsx</x:v>
      </x:c>
    </x:row>
    <x:row r="51" ht="30" customHeight="1">
      <x:c r="A51" s="39" t="str">
        <x:v>HDMI-176</x:v>
      </x:c>
      <x:c r="B51" s="39" t="str">
        <x:v>Touchscreen</x:v>
      </x:c>
      <x:c r="C51" s="39" t="str">
        <x:v>HDMI_TX0</x:v>
      </x:c>
      <x:c r="D51" s="39" t="str">
        <x:v>TMDS data 1+</x:v>
      </x:c>
      <x:c r="E51" s="39" t="str">
        <x:v>U13-B</x:v>
      </x:c>
      <x:c r="F51" s="79" t="n">
        <x:v>176</x:v>
      </x:c>
      <x:c r="G51" s="39" t="str">
        <x:v>HDMI0_TX1P</x:v>
      </x:c>
      <x:c r="H51" s="39" t="str">
        <x:v>BA5</x:v>
      </x:c>
      <x:c r="I51" s="39" t="str">
        <x:v>HDMI_TX0_D1P</x:v>
      </x:c>
      <x:c r="J51" s="39" t="str">
        <x:v>Output</x:v>
      </x:c>
      <x:c r="K51" s="39" t="str">
        <x:v>100 ohm differential</x:v>
      </x:c>
      <x:c r="L51" s="39" t="str">
        <x:v>LOCKED</x:v>
      </x:c>
      <x:c r="M51" s="39" t="str">
        <x:v>HDMI_D1_P</x:v>
      </x:c>
      <x:c r="N51" s="39" t="str">
        <x:v>Dedicated HDMI output; no stubs; place ESD at connector.</x:v>
      </x:c>
      <x:c r="O51" s="39" t="str">
        <x:v>Lid HDMI harness</x:v>
      </x:c>
      <x:c r="P51" s="39" t="str">
        <x:v>https://dl.radxa.com/cm5/v2210/radxa_cm5_v2210_pinout.xlsx</x:v>
      </x:c>
    </x:row>
    <x:row r="52" ht="30" customHeight="1">
      <x:c r="A52" s="39" t="str">
        <x:v>HDMI-178</x:v>
      </x:c>
      <x:c r="B52" s="39" t="str">
        <x:v>Touchscreen</x:v>
      </x:c>
      <x:c r="C52" s="39" t="str">
        <x:v>HDMI_TX0</x:v>
      </x:c>
      <x:c r="D52" s="39" t="str">
        <x:v>TMDS data 1-</x:v>
      </x:c>
      <x:c r="E52" s="39" t="str">
        <x:v>U13-B</x:v>
      </x:c>
      <x:c r="F52" s="79" t="n">
        <x:v>178</x:v>
      </x:c>
      <x:c r="G52" s="39" t="str">
        <x:v>HDMI0_TX1N</x:v>
      </x:c>
      <x:c r="H52" s="39" t="str">
        <x:v>BB5</x:v>
      </x:c>
      <x:c r="I52" s="39" t="str">
        <x:v>HDMI_TX0_D1N</x:v>
      </x:c>
      <x:c r="J52" s="39" t="str">
        <x:v>Output</x:v>
      </x:c>
      <x:c r="K52" s="39" t="str">
        <x:v>100 ohm differential</x:v>
      </x:c>
      <x:c r="L52" s="39" t="str">
        <x:v>LOCKED</x:v>
      </x:c>
      <x:c r="M52" s="39" t="str">
        <x:v>HDMI_D1_N</x:v>
      </x:c>
      <x:c r="N52" s="39" t="str">
        <x:v>Dedicated HDMI output; no stubs; place ESD at connector.</x:v>
      </x:c>
      <x:c r="O52" s="39" t="str">
        <x:v>Lid HDMI harness</x:v>
      </x:c>
      <x:c r="P52" s="39" t="str">
        <x:v>https://dl.radxa.com/cm5/v2210/radxa_cm5_v2210_pinout.xlsx</x:v>
      </x:c>
    </x:row>
    <x:row r="53" ht="30" customHeight="1">
      <x:c r="A53" s="39" t="str">
        <x:v>HDMI-182</x:v>
      </x:c>
      <x:c r="B53" s="39" t="str">
        <x:v>Touchscreen</x:v>
      </x:c>
      <x:c r="C53" s="39" t="str">
        <x:v>HDMI_TX0</x:v>
      </x:c>
      <x:c r="D53" s="39" t="str">
        <x:v>TMDS data 0+</x:v>
      </x:c>
      <x:c r="E53" s="39" t="str">
        <x:v>U13-B</x:v>
      </x:c>
      <x:c r="F53" s="79" t="n">
        <x:v>182</x:v>
      </x:c>
      <x:c r="G53" s="39" t="str">
        <x:v>HDMI0_TX0P</x:v>
      </x:c>
      <x:c r="H53" s="39" t="str">
        <x:v>BB4</x:v>
      </x:c>
      <x:c r="I53" s="39" t="str">
        <x:v>HDMI_TX0_D0P</x:v>
      </x:c>
      <x:c r="J53" s="39" t="str">
        <x:v>Output</x:v>
      </x:c>
      <x:c r="K53" s="39" t="str">
        <x:v>100 ohm differential</x:v>
      </x:c>
      <x:c r="L53" s="39" t="str">
        <x:v>LOCKED</x:v>
      </x:c>
      <x:c r="M53" s="39" t="str">
        <x:v>HDMI_D0_P</x:v>
      </x:c>
      <x:c r="N53" s="39" t="str">
        <x:v>Dedicated HDMI output; no stubs; place ESD at connector.</x:v>
      </x:c>
      <x:c r="O53" s="39" t="str">
        <x:v>Lid HDMI harness</x:v>
      </x:c>
      <x:c r="P53" s="39" t="str">
        <x:v>https://dl.radxa.com/cm5/v2210/radxa_cm5_v2210_pinout.xlsx</x:v>
      </x:c>
    </x:row>
    <x:row r="54" ht="30" customHeight="1">
      <x:c r="A54" s="39" t="str">
        <x:v>HDMI-184</x:v>
      </x:c>
      <x:c r="B54" s="39" t="str">
        <x:v>Touchscreen</x:v>
      </x:c>
      <x:c r="C54" s="39" t="str">
        <x:v>HDMI_TX0</x:v>
      </x:c>
      <x:c r="D54" s="39" t="str">
        <x:v>TMDS data 0-</x:v>
      </x:c>
      <x:c r="E54" s="39" t="str">
        <x:v>U13-B</x:v>
      </x:c>
      <x:c r="F54" s="79" t="n">
        <x:v>184</x:v>
      </x:c>
      <x:c r="G54" s="39" t="str">
        <x:v>HDMI0_TX0N</x:v>
      </x:c>
      <x:c r="H54" s="39" t="str">
        <x:v>BA4</x:v>
      </x:c>
      <x:c r="I54" s="39" t="str">
        <x:v>HDMI_TX0_D0N</x:v>
      </x:c>
      <x:c r="J54" s="39" t="str">
        <x:v>Output</x:v>
      </x:c>
      <x:c r="K54" s="39" t="str">
        <x:v>100 ohm differential</x:v>
      </x:c>
      <x:c r="L54" s="39" t="str">
        <x:v>LOCKED</x:v>
      </x:c>
      <x:c r="M54" s="39" t="str">
        <x:v>HDMI_D0_N</x:v>
      </x:c>
      <x:c r="N54" s="39" t="str">
        <x:v>Dedicated HDMI output; no stubs; place ESD at connector.</x:v>
      </x:c>
      <x:c r="O54" s="39" t="str">
        <x:v>Lid HDMI harness</x:v>
      </x:c>
      <x:c r="P54" s="39" t="str">
        <x:v>https://dl.radxa.com/cm5/v2210/radxa_cm5_v2210_pinout.xlsx</x:v>
      </x:c>
    </x:row>
    <x:row r="55" ht="30" customHeight="1">
      <x:c r="A55" s="39" t="str">
        <x:v>HDMI-188</x:v>
      </x:c>
      <x:c r="B55" s="39" t="str">
        <x:v>Touchscreen</x:v>
      </x:c>
      <x:c r="C55" s="39" t="str">
        <x:v>HDMI_TX0</x:v>
      </x:c>
      <x:c r="D55" s="39" t="str">
        <x:v>TMDS clock+</x:v>
      </x:c>
      <x:c r="E55" s="39" t="str">
        <x:v>U13-B</x:v>
      </x:c>
      <x:c r="F55" s="79" t="n">
        <x:v>188</x:v>
      </x:c>
      <x:c r="G55" s="39" t="str">
        <x:v>HDMI0_TX3P</x:v>
      </x:c>
      <x:c r="H55" s="39" t="str">
        <x:v>BA2</x:v>
      </x:c>
      <x:c r="I55" s="39" t="str">
        <x:v>HDMI_TX0_D3P</x:v>
      </x:c>
      <x:c r="J55" s="39" t="str">
        <x:v>Output</x:v>
      </x:c>
      <x:c r="K55" s="39" t="str">
        <x:v>100 ohm differential</x:v>
      </x:c>
      <x:c r="L55" s="39" t="str">
        <x:v>LOCKED</x:v>
      </x:c>
      <x:c r="M55" s="39" t="str">
        <x:v>HDMI_CLK_P</x:v>
      </x:c>
      <x:c r="N55" s="39" t="str">
        <x:v>Dedicated HDMI output; no stubs; place ESD at connector.</x:v>
      </x:c>
      <x:c r="O55" s="39" t="str">
        <x:v>Lid HDMI harness</x:v>
      </x:c>
      <x:c r="P55" s="39" t="str">
        <x:v>https://dl.radxa.com/cm5/v2210/radxa_cm5_v2210_pinout.xlsx</x:v>
      </x:c>
    </x:row>
    <x:row r="56" ht="30" customHeight="1">
      <x:c r="A56" s="39" t="str">
        <x:v>HDMI-190</x:v>
      </x:c>
      <x:c r="B56" s="39" t="str">
        <x:v>Touchscreen</x:v>
      </x:c>
      <x:c r="C56" s="39" t="str">
        <x:v>HDMI_TX0</x:v>
      </x:c>
      <x:c r="D56" s="39" t="str">
        <x:v>TMDS clock-</x:v>
      </x:c>
      <x:c r="E56" s="39" t="str">
        <x:v>U13-B</x:v>
      </x:c>
      <x:c r="F56" s="79" t="n">
        <x:v>190</x:v>
      </x:c>
      <x:c r="G56" s="39" t="str">
        <x:v>HDMI0_TX3N</x:v>
      </x:c>
      <x:c r="H56" s="39" t="str">
        <x:v>BB2</x:v>
      </x:c>
      <x:c r="I56" s="39" t="str">
        <x:v>HDMI_TX0_D3N</x:v>
      </x:c>
      <x:c r="J56" s="39" t="str">
        <x:v>Output</x:v>
      </x:c>
      <x:c r="K56" s="39" t="str">
        <x:v>100 ohm differential</x:v>
      </x:c>
      <x:c r="L56" s="39" t="str">
        <x:v>LOCKED</x:v>
      </x:c>
      <x:c r="M56" s="39" t="str">
        <x:v>HDMI_CLK_N</x:v>
      </x:c>
      <x:c r="N56" s="39" t="str">
        <x:v>Dedicated HDMI output; no stubs; place ESD at connector.</x:v>
      </x:c>
      <x:c r="O56" s="39" t="str">
        <x:v>Lid HDMI harness</x:v>
      </x:c>
      <x:c r="P56" s="39" t="str">
        <x:v>https://dl.radxa.com/cm5/v2210/radxa_cm5_v2210_pinout.xlsx</x:v>
      </x:c>
    </x:row>
    <x:row r="57" ht="30" customHeight="1">
      <x:c r="A57" s="39" t="str">
        <x:v>HDMI-151</x:v>
      </x:c>
      <x:c r="B57" s="39" t="str">
        <x:v>Touchscreen</x:v>
      </x:c>
      <x:c r="C57" s="39" t="str">
        <x:v>HDMI_TX0</x:v>
      </x:c>
      <x:c r="D57" s="39" t="str">
        <x:v>CEC</x:v>
      </x:c>
      <x:c r="E57" s="39" t="str">
        <x:v>U13-B</x:v>
      </x:c>
      <x:c r="F57" s="79" t="n">
        <x:v>151</x:v>
      </x:c>
      <x:c r="G57" s="39" t="str">
        <x:v>HDMI_TX0_CEC_PORT</x:v>
      </x:c>
      <x:c r="H57" s="39" t="str">
        <x:v>AY26</x:v>
      </x:c>
      <x:c r="I57" s="39" t="str">
        <x:v>HDMI_TX0_CEC_M0</x:v>
      </x:c>
      <x:c r="J57" s="39" t="str">
        <x:v>Bidirectional</x:v>
      </x:c>
      <x:c r="K57" s="39" t="str">
        <x:v>3.3 V / HDMI control</x:v>
      </x:c>
      <x:c r="L57" s="39" t="str">
        <x:v>LOCKED</x:v>
      </x:c>
      <x:c r="M57" s="39" t="str">
        <x:v>HDMI_CEC</x:v>
      </x:c>
      <x:c r="N57" s="39" t="str">
        <x:v>Follow the official reference level/protection network.</x:v>
      </x:c>
      <x:c r="O57" s="39" t="str">
        <x:v>Lid HDMI harness</x:v>
      </x:c>
      <x:c r="P57" s="39" t="str">
        <x:v>https://dl.radxa.com/cm5/v2210/radxa_cm5_v2210_pinout.xlsx</x:v>
      </x:c>
    </x:row>
    <x:row r="58" ht="30" customHeight="1">
      <x:c r="A58" s="39" t="str">
        <x:v>HDMI-153</x:v>
      </x:c>
      <x:c r="B58" s="39" t="str">
        <x:v>Touchscreen</x:v>
      </x:c>
      <x:c r="C58" s="39" t="str">
        <x:v>HDMI_TX0</x:v>
      </x:c>
      <x:c r="D58" s="39" t="str">
        <x:v>Hot plug detect</x:v>
      </x:c>
      <x:c r="E58" s="39" t="str">
        <x:v>U13-B</x:v>
      </x:c>
      <x:c r="F58" s="79" t="n">
        <x:v>153</x:v>
      </x:c>
      <x:c r="G58" s="39" t="str">
        <x:v>HDMI_TX0_HPD</x:v>
      </x:c>
      <x:c r="H58" s="39" t="str">
        <x:v>M40</x:v>
      </x:c>
      <x:c r="I58" s="39" t="str">
        <x:v>HDMI_TX0_HPD_M0</x:v>
      </x:c>
      <x:c r="J58" s="39" t="str">
        <x:v>Input</x:v>
      </x:c>
      <x:c r="K58" s="39" t="str">
        <x:v>5 V-tolerant path per reference</x:v>
      </x:c>
      <x:c r="L58" s="39" t="str">
        <x:v>LOCKED</x:v>
      </x:c>
      <x:c r="M58" s="39" t="str">
        <x:v>HDMI_HPD</x:v>
      </x:c>
      <x:c r="N58" s="39" t="str">
        <x:v>Follow the official reference level/protection network.</x:v>
      </x:c>
      <x:c r="O58" s="39" t="str">
        <x:v>Lid HDMI harness</x:v>
      </x:c>
      <x:c r="P58" s="39" t="str">
        <x:v>https://dl.radxa.com/cm5/v2210/radxa_cm5_v2210_pinout.xlsx</x:v>
      </x:c>
    </x:row>
    <x:row r="59" ht="30" customHeight="1">
      <x:c r="A59" s="39" t="str">
        <x:v>HDMI-199</x:v>
      </x:c>
      <x:c r="B59" s="39" t="str">
        <x:v>Touchscreen</x:v>
      </x:c>
      <x:c r="C59" s="39" t="str">
        <x:v>HDMI_TX0</x:v>
      </x:c>
      <x:c r="D59" s="39" t="str">
        <x:v>DDC data</x:v>
      </x:c>
      <x:c r="E59" s="39" t="str">
        <x:v>U13-B</x:v>
      </x:c>
      <x:c r="F59" s="79" t="n">
        <x:v>199</x:v>
      </x:c>
      <x:c r="G59" s="39" t="str">
        <x:v>HDMI_TX0_SDA_5V</x:v>
      </x:c>
      <x:c r="H59" s="39" t="str">
        <x:v>AW23</x:v>
      </x:c>
      <x:c r="I59" s="39" t="str">
        <x:v>HDMI_TX0_SDA_M0</x:v>
      </x:c>
      <x:c r="J59" s="39" t="str">
        <x:v>Bidirectional</x:v>
      </x:c>
      <x:c r="K59" s="39" t="str">
        <x:v>5 V DDC</x:v>
      </x:c>
      <x:c r="L59" s="39" t="str">
        <x:v>LOCKED</x:v>
      </x:c>
      <x:c r="M59" s="39" t="str">
        <x:v>HDMI_DDC_SDA</x:v>
      </x:c>
      <x:c r="N59" s="39" t="str">
        <x:v>Follow the official reference level/protection network.</x:v>
      </x:c>
      <x:c r="O59" s="39" t="str">
        <x:v>Lid HDMI harness</x:v>
      </x:c>
      <x:c r="P59" s="39" t="str">
        <x:v>https://dl.radxa.com/cm5/v2210/radxa_cm5_v2210_pinout.xlsx</x:v>
      </x:c>
    </x:row>
    <x:row r="60" ht="30" customHeight="1">
      <x:c r="A60" s="39" t="str">
        <x:v>HDMI-200</x:v>
      </x:c>
      <x:c r="B60" s="39" t="str">
        <x:v>Touchscreen</x:v>
      </x:c>
      <x:c r="C60" s="39" t="str">
        <x:v>HDMI_TX0</x:v>
      </x:c>
      <x:c r="D60" s="39" t="str">
        <x:v>DDC clock</x:v>
      </x:c>
      <x:c r="E60" s="39" t="str">
        <x:v>U13-B</x:v>
      </x:c>
      <x:c r="F60" s="79" t="n">
        <x:v>200</x:v>
      </x:c>
      <x:c r="G60" s="39" t="str">
        <x:v>HDMI_TX0_SCL_5V</x:v>
      </x:c>
      <x:c r="H60" s="39" t="str">
        <x:v>AV22</x:v>
      </x:c>
      <x:c r="I60" s="39" t="str">
        <x:v>HDMI_TX0_SCL_M0</x:v>
      </x:c>
      <x:c r="J60" s="39" t="str">
        <x:v>Bidirectional</x:v>
      </x:c>
      <x:c r="K60" s="39" t="str">
        <x:v>5 V DDC</x:v>
      </x:c>
      <x:c r="L60" s="39" t="str">
        <x:v>LOCKED</x:v>
      </x:c>
      <x:c r="M60" s="39" t="str">
        <x:v>HDMI_DDC_SCL</x:v>
      </x:c>
      <x:c r="N60" s="39" t="str">
        <x:v>Follow the official reference level/protection network.</x:v>
      </x:c>
      <x:c r="O60" s="39" t="str">
        <x:v>Lid HDMI harness</x:v>
      </x:c>
      <x:c r="P60" s="39" t="str">
        <x:v>https://dl.radxa.com/cm5/v2210/radxa_cm5_v2210_pinout.xlsx</x:v>
      </x:c>
    </x:row>
    <x:row r="61" ht="30" customHeight="1">
      <x:c r="A61" s="39" t="str">
        <x:v>HDMI-145</x:v>
      </x:c>
      <x:c r="B61" s="39" t="str">
        <x:v>Touchscreen</x:v>
      </x:c>
      <x:c r="C61" s="39" t="str">
        <x:v>HDMI sideband</x:v>
      </x:c>
      <x:c r="D61" s="39" t="str">
        <x:v>HEAC/ARC sideband</x:v>
      </x:c>
      <x:c r="E61" s="39" t="str">
        <x:v>U13-B</x:v>
      </x:c>
      <x:c r="F61" s="79" t="n">
        <x:v>145</x:v>
      </x:c>
      <x:c r="G61" s="39" t="str">
        <x:v>HDMI0_TX_SBDP</x:v>
      </x:c>
      <x:c r="H61" s="39" t="str">
        <x:v>BA1</x:v>
      </x:c>
      <x:c r="I61" s="39" t="str">
        <x:v>HDMI_TX0_SBDP</x:v>
      </x:c>
      <x:c r="J61" s="39" t="str">
        <x:v>Bidirectional</x:v>
      </x:c>
      <x:c r="K61" s="39" t="str">
        <x:v>AC-coupled sideband</x:v>
      </x:c>
      <x:c r="L61" s="39" t="str">
        <x:v>RESERVED</x:v>
      </x:c>
      <x:c r="M61" s="39" t="str">
        <x:v>HDMI_HEAC_P</x:v>
      </x:c>
      <x:c r="N61" s="39" t="str">
        <x:v>Do not repurpose; decide route versus DNP with the final HDMI connector implementation.</x:v>
      </x:c>
      <x:c r="O61" s="39" t="str">
        <x:v>Lid HDMI harness</x:v>
      </x:c>
      <x:c r="P61" s="39" t="str">
        <x:v>https://dl.radxa.com/cm5/v2210/radxa_cm5_v2210_pinout.xlsx</x:v>
      </x:c>
    </x:row>
    <x:row r="62" ht="30" customHeight="1">
      <x:c r="A62" s="39" t="str">
        <x:v>HDMI-147</x:v>
      </x:c>
      <x:c r="B62" s="39" t="str">
        <x:v>Touchscreen</x:v>
      </x:c>
      <x:c r="C62" s="39" t="str">
        <x:v>HDMI sideband</x:v>
      </x:c>
      <x:c r="D62" s="39" t="str">
        <x:v>HEAC/ARC sideband</x:v>
      </x:c>
      <x:c r="E62" s="39" t="str">
        <x:v>U13-B</x:v>
      </x:c>
      <x:c r="F62" s="79" t="n">
        <x:v>147</x:v>
      </x:c>
      <x:c r="G62" s="39" t="str">
        <x:v>HDMI0_TX_SBDN</x:v>
      </x:c>
      <x:c r="H62" s="39" t="str">
        <x:v>AY1</x:v>
      </x:c>
      <x:c r="I62" s="39" t="str">
        <x:v>HDMI_TX0_SBDN</x:v>
      </x:c>
      <x:c r="J62" s="39" t="str">
        <x:v>Bidirectional</x:v>
      </x:c>
      <x:c r="K62" s="39" t="str">
        <x:v>AC-coupled sideband</x:v>
      </x:c>
      <x:c r="L62" s="39" t="str">
        <x:v>RESERVED</x:v>
      </x:c>
      <x:c r="M62" s="39" t="str">
        <x:v>HDMI_HEAC_N</x:v>
      </x:c>
      <x:c r="N62" s="39" t="str">
        <x:v>Do not repurpose; decide route versus DNP with the final HDMI connector implementation.</x:v>
      </x:c>
      <x:c r="O62" s="39" t="str">
        <x:v>Lid HDMI harness</x:v>
      </x:c>
      <x:c r="P62" s="39" t="str">
        <x:v>https://dl.radxa.com/cm5/v2210/radxa_cm5_v2210_pinout.xlsx</x:v>
      </x:c>
    </x:row>
    <x:row r="63" ht="30" customHeight="1">
      <x:c r="A63" s="39" t="str">
        <x:v>AUD-034</x:v>
      </x:c>
      <x:c r="B63" s="39" t="str">
        <x:v>Audio 8x8</x:v>
      </x:c>
      <x:c r="C63" s="39" t="str">
        <x:v>I2S0 TDM</x:v>
      </x:c>
      <x:c r="D63" s="39" t="str">
        <x:v>DAC TDM data</x:v>
      </x:c>
      <x:c r="E63" s="39" t="str">
        <x:v>U13-A</x:v>
      </x:c>
      <x:c r="F63" s="79" t="n">
        <x:v>34</x:v>
      </x:c>
      <x:c r="G63" s="39" t="str">
        <x:v>I2S0_SDO0</x:v>
      </x:c>
      <x:c r="H63" s="39" t="str">
        <x:v>P41</x:v>
      </x:c>
      <x:c r="I63" s="39" t="str">
        <x:v>I2S0_SDO0</x:v>
      </x:c>
      <x:c r="J63" s="39" t="str">
        <x:v>Output</x:v>
      </x:c>
      <x:c r="K63" s="39" t="str">
        <x:v>3.3 V synchronous</x:v>
      </x:c>
      <x:c r="L63" s="39" t="str">
        <x:v>LOCKED</x:v>
      </x:c>
      <x:c r="M63" s="39" t="str">
        <x:v>AUD_DAC_SDIN</x:v>
      </x:c>
      <x:c r="N63" s="39" t="str">
        <x:v>Reserved exclusively for AK5558VN/AK4458VN TDM; no alternate mux use.</x:v>
      </x:c>
      <x:c r="O63" s="39" t="str">
        <x:v>AUDIO-8X8 interface</x:v>
      </x:c>
      <x:c r="P63" s="39" t="str">
        <x:v>https://dl.radxa.com/cm5/v2210/radxa_cm5_v2210_pinout.xlsx</x:v>
      </x:c>
    </x:row>
    <x:row r="64" ht="30" customHeight="1">
      <x:c r="A64" s="39" t="str">
        <x:v>AUD-046</x:v>
      </x:c>
      <x:c r="B64" s="39" t="str">
        <x:v>Audio 8x8</x:v>
      </x:c>
      <x:c r="C64" s="39" t="str">
        <x:v>I2S0 TDM</x:v>
      </x:c>
      <x:c r="D64" s="39" t="str">
        <x:v>TDM bit clock</x:v>
      </x:c>
      <x:c r="E64" s="39" t="str">
        <x:v>U13-A</x:v>
      </x:c>
      <x:c r="F64" s="79" t="n">
        <x:v>46</x:v>
      </x:c>
      <x:c r="G64" s="39" t="str">
        <x:v>I2S0_SCLK_TX</x:v>
      </x:c>
      <x:c r="H64" s="39" t="str">
        <x:v>M42</x:v>
      </x:c>
      <x:c r="I64" s="39" t="str">
        <x:v>I2S0_SCLK_TX</x:v>
      </x:c>
      <x:c r="J64" s="39" t="str">
        <x:v>Output</x:v>
      </x:c>
      <x:c r="K64" s="39" t="str">
        <x:v>3.3 V synchronous</x:v>
      </x:c>
      <x:c r="L64" s="39" t="str">
        <x:v>LOCKED</x:v>
      </x:c>
      <x:c r="M64" s="39" t="str">
        <x:v>AUD_BCLK</x:v>
      </x:c>
      <x:c r="N64" s="39" t="str">
        <x:v>Reserved exclusively for AK5558VN/AK4458VN TDM; no alternate mux use.</x:v>
      </x:c>
      <x:c r="O64" s="39" t="str">
        <x:v>AUDIO-8X8 interface</x:v>
      </x:c>
      <x:c r="P64" s="39" t="str">
        <x:v>https://dl.radxa.com/cm5/v2210/radxa_cm5_v2210_pinout.xlsx</x:v>
      </x:c>
    </x:row>
    <x:row r="65" ht="30" customHeight="1">
      <x:c r="A65" s="39" t="str">
        <x:v>AUD-048</x:v>
      </x:c>
      <x:c r="B65" s="39" t="str">
        <x:v>Audio 8x8</x:v>
      </x:c>
      <x:c r="C65" s="39" t="str">
        <x:v>I2S0 TDM</x:v>
      </x:c>
      <x:c r="D65" s="39" t="str">
        <x:v>TDM frame sync</x:v>
      </x:c>
      <x:c r="E65" s="39" t="str">
        <x:v>U13-A</x:v>
      </x:c>
      <x:c r="F65" s="79" t="n">
        <x:v>48</x:v>
      </x:c>
      <x:c r="G65" s="39" t="str">
        <x:v>I2S0_LRCK_TX</x:v>
      </x:c>
      <x:c r="H65" s="39" t="str">
        <x:v>P39</x:v>
      </x:c>
      <x:c r="I65" s="39" t="str">
        <x:v>I2S0_LRCK_TX</x:v>
      </x:c>
      <x:c r="J65" s="39" t="str">
        <x:v>Output</x:v>
      </x:c>
      <x:c r="K65" s="39" t="str">
        <x:v>3.3 V synchronous</x:v>
      </x:c>
      <x:c r="L65" s="39" t="str">
        <x:v>LOCKED</x:v>
      </x:c>
      <x:c r="M65" s="39" t="str">
        <x:v>AUD_FSYNC</x:v>
      </x:c>
      <x:c r="N65" s="39" t="str">
        <x:v>Reserved exclusively for AK5558VN/AK4458VN TDM; no alternate mux use.</x:v>
      </x:c>
      <x:c r="O65" s="39" t="str">
        <x:v>AUDIO-8X8 interface</x:v>
      </x:c>
      <x:c r="P65" s="39" t="str">
        <x:v>https://dl.radxa.com/cm5/v2210/radxa_cm5_v2210_pinout.xlsx</x:v>
      </x:c>
    </x:row>
    <x:row r="66" ht="30" customHeight="1">
      <x:c r="A66" s="39" t="str">
        <x:v>AUD-050</x:v>
      </x:c>
      <x:c r="B66" s="39" t="str">
        <x:v>Audio 8x8</x:v>
      </x:c>
      <x:c r="C66" s="39" t="str">
        <x:v>I2S0 TDM</x:v>
      </x:c>
      <x:c r="D66" s="39" t="str">
        <x:v>Audio master clock</x:v>
      </x:c>
      <x:c r="E66" s="39" t="str">
        <x:v>U13-A</x:v>
      </x:c>
      <x:c r="F66" s="79" t="n">
        <x:v>50</x:v>
      </x:c>
      <x:c r="G66" s="39" t="str">
        <x:v>I2S0_MCLK</x:v>
      </x:c>
      <x:c r="H66" s="39" t="str">
        <x:v>U36</x:v>
      </x:c>
      <x:c r="I66" s="39" t="str">
        <x:v>I2S0_MCLK</x:v>
      </x:c>
      <x:c r="J66" s="39" t="str">
        <x:v>Output</x:v>
      </x:c>
      <x:c r="K66" s="39" t="str">
        <x:v>3.3 V synchronous</x:v>
      </x:c>
      <x:c r="L66" s="39" t="str">
        <x:v>LOCKED</x:v>
      </x:c>
      <x:c r="M66" s="39" t="str">
        <x:v>AUD_MCLK</x:v>
      </x:c>
      <x:c r="N66" s="39" t="str">
        <x:v>Reserved exclusively for AK5558VN/AK4458VN TDM; no alternate mux use.</x:v>
      </x:c>
      <x:c r="O66" s="39" t="str">
        <x:v>AUDIO-8X8 interface</x:v>
      </x:c>
      <x:c r="P66" s="39" t="str">
        <x:v>https://dl.radxa.com/cm5/v2210/radxa_cm5_v2210_pinout.xlsx</x:v>
      </x:c>
    </x:row>
    <x:row r="67" ht="30" customHeight="1">
      <x:c r="A67" s="39" t="str">
        <x:v>AUD-054</x:v>
      </x:c>
      <x:c r="B67" s="39" t="str">
        <x:v>Audio 8x8</x:v>
      </x:c>
      <x:c r="C67" s="39" t="str">
        <x:v>I2S0 TDM</x:v>
      </x:c>
      <x:c r="D67" s="39" t="str">
        <x:v>ADC TDM data</x:v>
      </x:c>
      <x:c r="E67" s="39" t="str">
        <x:v>U13-A</x:v>
      </x:c>
      <x:c r="F67" s="79" t="n">
        <x:v>54</x:v>
      </x:c>
      <x:c r="G67" s="39" t="str">
        <x:v>I2S0_SDI0</x:v>
      </x:c>
      <x:c r="H67" s="39" t="str">
        <x:v>N42</x:v>
      </x:c>
      <x:c r="I67" s="39" t="str">
        <x:v>I2S0_SDI0</x:v>
      </x:c>
      <x:c r="J67" s="39" t="str">
        <x:v>Input</x:v>
      </x:c>
      <x:c r="K67" s="39" t="str">
        <x:v>3.3 V synchronous</x:v>
      </x:c>
      <x:c r="L67" s="39" t="str">
        <x:v>LOCKED</x:v>
      </x:c>
      <x:c r="M67" s="39" t="str">
        <x:v>AUD_ADC_SDOUT</x:v>
      </x:c>
      <x:c r="N67" s="39" t="str">
        <x:v>Reserved exclusively for AK5558VN/AK4458VN TDM; no alternate mux use.</x:v>
      </x:c>
      <x:c r="O67" s="39" t="str">
        <x:v>AUDIO-8X8 interface</x:v>
      </x:c>
      <x:c r="P67" s="39" t="str">
        <x:v>https://dl.radxa.com/cm5/v2210/radxa_cm5_v2210_pinout.xlsx</x:v>
      </x:c>
    </x:row>
    <x:row r="68" ht="30" customHeight="1">
      <x:c r="A68" s="39" t="str">
        <x:v>I2C7-080</x:v>
      </x:c>
      <x:c r="B68" s="39" t="str">
        <x:v>System control</x:v>
      </x:c>
      <x:c r="C68" s="39" t="str">
        <x:v>I2C7_M2</x:v>
      </x:c>
      <x:c r="D68" s="39" t="str">
        <x:v>System I2C clock</x:v>
      </x:c>
      <x:c r="E68" s="39" t="str">
        <x:v>U13-A</x:v>
      </x:c>
      <x:c r="F68" s="79" t="n">
        <x:v>80</x:v>
      </x:c>
      <x:c r="G68" s="39" t="str">
        <x:v>I2C7_SCL_M2</x:v>
      </x:c>
      <x:c r="H68" s="39" t="str">
        <x:v>AY30</x:v>
      </x:c>
      <x:c r="I68" s="39" t="str">
        <x:v>I2C7_SCL_M2</x:v>
      </x:c>
      <x:c r="J68" s="39" t="str">
        <x:v>Bidirectional</x:v>
      </x:c>
      <x:c r="K68" s="39" t="str">
        <x:v>3.3 V open drain</x:v>
      </x:c>
      <x:c r="L68" s="39" t="str">
        <x:v>LOCKED</x:v>
      </x:c>
      <x:c r="M68" s="39" t="str">
        <x:v>SYS_I2C7_SCL</x:v>
      </x:c>
      <x:c r="N68" s="39" t="str">
        <x:v>Shared only through an address/pull-up audit; one bus segment reaches AUDIO-8X8.</x:v>
      </x:c>
      <x:c r="O68" s="39" t="str">
        <x:v>AKM, fans, sensors, GPIO expanders</x:v>
      </x:c>
      <x:c r="P68" s="39" t="str">
        <x:v>https://dl.radxa.com/cm5/v2210/radxa_cm5_v2210_pinout.xlsx</x:v>
      </x:c>
    </x:row>
    <x:row r="69" ht="30" customHeight="1">
      <x:c r="A69" s="39" t="str">
        <x:v>I2C7-082</x:v>
      </x:c>
      <x:c r="B69" s="39" t="str">
        <x:v>System control</x:v>
      </x:c>
      <x:c r="C69" s="39" t="str">
        <x:v>I2C7_M2</x:v>
      </x:c>
      <x:c r="D69" s="39" t="str">
        <x:v>System I2C data</x:v>
      </x:c>
      <x:c r="E69" s="39" t="str">
        <x:v>U13-A</x:v>
      </x:c>
      <x:c r="F69" s="79" t="n">
        <x:v>82</x:v>
      </x:c>
      <x:c r="G69" s="39" t="str">
        <x:v>I2C7_SDA_M2</x:v>
      </x:c>
      <x:c r="H69" s="39" t="str">
        <x:v>AY31</x:v>
      </x:c>
      <x:c r="I69" s="39" t="str">
        <x:v>I2C7_SDA_M2</x:v>
      </x:c>
      <x:c r="J69" s="39" t="str">
        <x:v>Bidirectional</x:v>
      </x:c>
      <x:c r="K69" s="39" t="str">
        <x:v>3.3 V open drain</x:v>
      </x:c>
      <x:c r="L69" s="39" t="str">
        <x:v>LOCKED</x:v>
      </x:c>
      <x:c r="M69" s="39" t="str">
        <x:v>SYS_I2C7_SDA</x:v>
      </x:c>
      <x:c r="N69" s="39" t="str">
        <x:v>Shared only through an address/pull-up audit; one bus segment reaches AUDIO-8X8.</x:v>
      </x:c>
      <x:c r="O69" s="39" t="str">
        <x:v>AKM, fans, sensors, GPIO expanders</x:v>
      </x:c>
      <x:c r="P69" s="39" t="str">
        <x:v>https://dl.radxa.com/cm5/v2210/radxa_cm5_v2210_pinout.xlsx</x:v>
      </x:c>
    </x:row>
    <x:row r="70" ht="30" customHeight="1">
      <x:c r="A70" s="39" t="str">
        <x:v>AUD-020</x:v>
      </x:c>
      <x:c r="B70" s="39" t="str">
        <x:v>Audio 8x8</x:v>
      </x:c>
      <x:c r="C70" s="39" t="str">
        <x:v>Interrupt</x:v>
      </x:c>
      <x:c r="D70" s="39" t="str">
        <x:v>Audio-board interrupt</x:v>
      </x:c>
      <x:c r="E70" s="39" t="str">
        <x:v>U13-A</x:v>
      </x:c>
      <x:c r="F70" s="79" t="n">
        <x:v>20</x:v>
      </x:c>
      <x:c r="G70" s="39" t="str">
        <x:v>HP_INT</x:v>
      </x:c>
      <x:c r="H70" s="39" t="str">
        <x:v>W38</x:v>
      </x:c>
      <x:c r="I70" s="39" t="str">
        <x:v>GPIO0_A0_d</x:v>
      </x:c>
      <x:c r="J70" s="39" t="str">
        <x:v>Input</x:v>
      </x:c>
      <x:c r="K70" s="39" t="str">
        <x:v>3.3 V active low</x:v>
      </x:c>
      <x:c r="L70" s="39" t="str">
        <x:v>LOCKED</x:v>
      </x:c>
      <x:c r="M70" s="39" t="str">
        <x:v>AUD_IRQ_N</x:v>
      </x:c>
      <x:c r="N70" s="39" t="str">
        <x:v>Direct latency/fault input; do not use REFCLK_OUT.</x:v>
      </x:c>
      <x:c r="O70" s="39" t="str">
        <x:v>AUDIO-8X8 interface</x:v>
      </x:c>
      <x:c r="P70" s="39" t="str">
        <x:v>https://dl.radxa.com/cm5/v2210/radxa_cm5_v2210_pinout.xlsx</x:v>
      </x:c>
    </x:row>
    <x:row r="71" ht="30" customHeight="1">
      <x:c r="A71" s="39" t="str">
        <x:v>HS-100</x:v>
      </x:c>
      <x:c r="B71" s="39" t="str">
        <x:v>Headset</x:v>
      </x:c>
      <x:c r="C71" s="39" t="str">
        <x:v>I2S1_M0</x:v>
      </x:c>
      <x:c r="D71" s="39" t="str">
        <x:v>Headset MCLK</x:v>
      </x:c>
      <x:c r="E71" s="39" t="str">
        <x:v>U13-A</x:v>
      </x:c>
      <x:c r="F71" s="79" t="n">
        <x:v>100</x:v>
      </x:c>
      <x:c r="G71" s="39" t="str">
        <x:v>SPIO_MISO_M1</x:v>
      </x:c>
      <x:c r="H71" s="39" t="str">
        <x:v>AV19</x:v>
      </x:c>
      <x:c r="I71" s="39" t="str">
        <x:v>I2S1_MCLK_M0</x:v>
      </x:c>
      <x:c r="J71" s="39" t="str">
        <x:v>Output</x:v>
      </x:c>
      <x:c r="K71" s="39" t="str">
        <x:v>3.3 V synchronous</x:v>
      </x:c>
      <x:c r="L71" s="39" t="str">
        <x:v>LOCKED</x:v>
      </x:c>
      <x:c r="M71" s="39" t="str">
        <x:v>HS_MCLK</x:v>
      </x:c>
      <x:c r="N71" s="39" t="str">
        <x:v>Consumes SPI0_M1 and PCIE20X1_1 M1 alternate functions; I2S1_M1 is prohibited.</x:v>
      </x:c>
      <x:c r="O71" s="39" t="str">
        <x:v>ES8316</x:v>
      </x:c>
      <x:c r="P71" s="39" t="str">
        <x:v>https://dl.radxa.com/cm5/v2210/radxa_cm5_v2210_pinout.xlsx</x:v>
      </x:c>
    </x:row>
    <x:row r="72" ht="30" customHeight="1">
      <x:c r="A72" s="39" t="str">
        <x:v>HS-028</x:v>
      </x:c>
      <x:c r="B72" s="39" t="str">
        <x:v>Headset</x:v>
      </x:c>
      <x:c r="C72" s="39" t="str">
        <x:v>I2S1_M0</x:v>
      </x:c>
      <x:c r="D72" s="39" t="str">
        <x:v>Headset BCLK</x:v>
      </x:c>
      <x:c r="E72" s="39" t="str">
        <x:v>U13-A</x:v>
      </x:c>
      <x:c r="F72" s="79" t="n">
        <x:v>28</x:v>
      </x:c>
      <x:c r="G72" s="39" t="str">
        <x:v>SPIO_MOSI_M1</x:v>
      </x:c>
      <x:c r="H72" s="39" t="str">
        <x:v>AW18</x:v>
      </x:c>
      <x:c r="I72" s="39" t="str">
        <x:v>I2S1_SCLK_TX_M0</x:v>
      </x:c>
      <x:c r="J72" s="39" t="str">
        <x:v>Output</x:v>
      </x:c>
      <x:c r="K72" s="39" t="str">
        <x:v>3.3 V synchronous</x:v>
      </x:c>
      <x:c r="L72" s="39" t="str">
        <x:v>LOCKED</x:v>
      </x:c>
      <x:c r="M72" s="39" t="str">
        <x:v>HS_BCLK</x:v>
      </x:c>
      <x:c r="N72" s="39" t="str">
        <x:v>Consumes SPI0_M1 and PCIE20X1_1 M1 alternate functions; I2S1_M1 is prohibited.</x:v>
      </x:c>
      <x:c r="O72" s="39" t="str">
        <x:v>ES8316</x:v>
      </x:c>
      <x:c r="P72" s="39" t="str">
        <x:v>https://dl.radxa.com/cm5/v2210/radxa_cm5_v2210_pinout.xlsx</x:v>
      </x:c>
    </x:row>
    <x:row r="73" ht="30" customHeight="1">
      <x:c r="A73" s="39" t="str">
        <x:v>HS-030</x:v>
      </x:c>
      <x:c r="B73" s="39" t="str">
        <x:v>Headset</x:v>
      </x:c>
      <x:c r="C73" s="39" t="str">
        <x:v>I2S1_M0</x:v>
      </x:c>
      <x:c r="D73" s="39" t="str">
        <x:v>Headset LRCK</x:v>
      </x:c>
      <x:c r="E73" s="39" t="str">
        <x:v>U13-A</x:v>
      </x:c>
      <x:c r="F73" s="79" t="n">
        <x:v>30</x:v>
      </x:c>
      <x:c r="G73" s="39" t="str">
        <x:v>SPIO_CLK_M1</x:v>
      </x:c>
      <x:c r="H73" s="39" t="str">
        <x:v>AV26</x:v>
      </x:c>
      <x:c r="I73" s="39" t="str">
        <x:v>I2S1_LRCK_TX_M0</x:v>
      </x:c>
      <x:c r="J73" s="39" t="str">
        <x:v>Output</x:v>
      </x:c>
      <x:c r="K73" s="39" t="str">
        <x:v>3.3 V synchronous</x:v>
      </x:c>
      <x:c r="L73" s="39" t="str">
        <x:v>LOCKED</x:v>
      </x:c>
      <x:c r="M73" s="39" t="str">
        <x:v>HS_LRCK</x:v>
      </x:c>
      <x:c r="N73" s="39" t="str">
        <x:v>Consumes SPI0_M1 and PCIE20X1_1 M1 alternate functions; I2S1_M1 is prohibited.</x:v>
      </x:c>
      <x:c r="O73" s="39" t="str">
        <x:v>ES8316</x:v>
      </x:c>
      <x:c r="P73" s="39" t="str">
        <x:v>https://dl.radxa.com/cm5/v2210/radxa_cm5_v2210_pinout.xlsx</x:v>
      </x:c>
    </x:row>
    <x:row r="74" ht="30" customHeight="1">
      <x:c r="A74" s="39" t="str">
        <x:v>HS-031</x:v>
      </x:c>
      <x:c r="B74" s="39" t="str">
        <x:v>Headset</x:v>
      </x:c>
      <x:c r="C74" s="39" t="str">
        <x:v>I2S1_M0</x:v>
      </x:c>
      <x:c r="D74" s="39" t="str">
        <x:v>Headset playback data</x:v>
      </x:c>
      <x:c r="E74" s="39" t="str">
        <x:v>U13-A</x:v>
      </x:c>
      <x:c r="F74" s="79" t="n">
        <x:v>31</x:v>
      </x:c>
      <x:c r="G74" s="39" t="str">
        <x:v>SPIO_CS0M1</x:v>
      </x:c>
      <x:c r="H74" s="39" t="str">
        <x:v>AT15</x:v>
      </x:c>
      <x:c r="I74" s="39" t="str">
        <x:v>I2S1_SDO1_M0</x:v>
      </x:c>
      <x:c r="J74" s="39" t="str">
        <x:v>Output</x:v>
      </x:c>
      <x:c r="K74" s="39" t="str">
        <x:v>3.3 V synchronous</x:v>
      </x:c>
      <x:c r="L74" s="39" t="str">
        <x:v>LOCKED</x:v>
      </x:c>
      <x:c r="M74" s="39" t="str">
        <x:v>HS_SDOUT_TO_CODEC</x:v>
      </x:c>
      <x:c r="N74" s="39" t="str">
        <x:v>Consumes SPI0_M1 and PCIE20X1_1 M1 alternate functions; I2S1_M1 is prohibited.</x:v>
      </x:c>
      <x:c r="O74" s="39" t="str">
        <x:v>ES8316</x:v>
      </x:c>
      <x:c r="P74" s="39" t="str">
        <x:v>https://dl.radxa.com/cm5/v2210/radxa_cm5_v2210_pinout.xlsx</x:v>
      </x:c>
    </x:row>
    <x:row r="75" ht="30" customHeight="1">
      <x:c r="A75" s="39" t="str">
        <x:v>HS-040</x:v>
      </x:c>
      <x:c r="B75" s="39" t="str">
        <x:v>Headset</x:v>
      </x:c>
      <x:c r="C75" s="39" t="str">
        <x:v>I2S1_M0</x:v>
      </x:c>
      <x:c r="D75" s="39" t="str">
        <x:v>Headset capture data</x:v>
      </x:c>
      <x:c r="E75" s="39" t="str">
        <x:v>J1</x:v>
      </x:c>
      <x:c r="F75" s="79" t="n">
        <x:v>40</x:v>
      </x:c>
      <x:c r="G75" s="39" t="str">
        <x:v>GPIO4_A5</x:v>
      </x:c>
      <x:c r="H75" s="39" t="str">
        <x:v>AU15</x:v>
      </x:c>
      <x:c r="I75" s="39" t="str">
        <x:v>I2S1_SDI0_M0</x:v>
      </x:c>
      <x:c r="J75" s="39" t="str">
        <x:v>Input</x:v>
      </x:c>
      <x:c r="K75" s="39" t="str">
        <x:v>3.3 V synchronous</x:v>
      </x:c>
      <x:c r="L75" s="39" t="str">
        <x:v>LOCKED</x:v>
      </x:c>
      <x:c r="M75" s="39" t="str">
        <x:v>HS_SDIN_FROM_CODEC</x:v>
      </x:c>
      <x:c r="N75" s="39" t="str">
        <x:v>Consumes SPI0_M1 and PCIE20X1_1 M1 alternate functions; I2S1_M1 is prohibited.</x:v>
      </x:c>
      <x:c r="O75" s="39" t="str">
        <x:v>ES8316</x:v>
      </x:c>
      <x:c r="P75" s="39" t="str">
        <x:v>https://dl.radxa.com/cm5/v2210/radxa_cm5_v2210_pinout.xlsx</x:v>
      </x:c>
    </x:row>
    <x:row r="76" ht="30" customHeight="1">
      <x:c r="A76" s="39" t="str">
        <x:v>HSI2C-004</x:v>
      </x:c>
      <x:c r="B76" s="39" t="str">
        <x:v>Headset</x:v>
      </x:c>
      <x:c r="C76" s="39" t="str">
        <x:v>I2C3_M1</x:v>
      </x:c>
      <x:c r="D76" s="39" t="str">
        <x:v>Headset I2C data</x:v>
      </x:c>
      <x:c r="E76" s="39" t="str">
        <x:v>J1</x:v>
      </x:c>
      <x:c r="F76" s="79" t="n">
        <x:v>4</x:v>
      </x:c>
      <x:c r="G76" s="39" t="str">
        <x:v>GPIO3_C0</x:v>
      </x:c>
      <x:c r="H76" s="39" t="str">
        <x:v>AR36</x:v>
      </x:c>
      <x:c r="I76" s="39" t="str">
        <x:v>I2C3_SDA_M1</x:v>
      </x:c>
      <x:c r="J76" s="39" t="str">
        <x:v>Bidirectional</x:v>
      </x:c>
      <x:c r="K76" s="39" t="str">
        <x:v>3.3 V open drain</x:v>
      </x:c>
      <x:c r="L76" s="39" t="str">
        <x:v>LOCKED</x:v>
      </x:c>
      <x:c r="M76" s="39" t="str">
        <x:v>HS_I2C_SDA</x:v>
      </x:c>
      <x:c r="N76" s="39" t="str">
        <x:v>Dedicated ES8316 control bus; verify address and pull-ups.</x:v>
      </x:c>
      <x:c r="O76" s="39" t="str">
        <x:v>ES8316</x:v>
      </x:c>
      <x:c r="P76" s="39" t="str">
        <x:v>https://dl.radxa.com/cm5/v2210/radxa_cm5_v2210_pinout.xlsx</x:v>
      </x:c>
    </x:row>
    <x:row r="77" ht="30" customHeight="1">
      <x:c r="A77" s="39" t="str">
        <x:v>HSI2C-006</x:v>
      </x:c>
      <x:c r="B77" s="39" t="str">
        <x:v>Headset</x:v>
      </x:c>
      <x:c r="C77" s="39" t="str">
        <x:v>I2C3_M1</x:v>
      </x:c>
      <x:c r="D77" s="39" t="str">
        <x:v>Headset I2C clock</x:v>
      </x:c>
      <x:c r="E77" s="39" t="str">
        <x:v>J1</x:v>
      </x:c>
      <x:c r="F77" s="79" t="n">
        <x:v>6</x:v>
      </x:c>
      <x:c r="G77" s="39" t="str">
        <x:v>GPIO3_B7</x:v>
      </x:c>
      <x:c r="H77" s="39" t="str">
        <x:v>AY34</x:v>
      </x:c>
      <x:c r="I77" s="39" t="str">
        <x:v>I2C3_SCL_M1</x:v>
      </x:c>
      <x:c r="J77" s="39" t="str">
        <x:v>Bidirectional</x:v>
      </x:c>
      <x:c r="K77" s="39" t="str">
        <x:v>3.3 V open drain</x:v>
      </x:c>
      <x:c r="L77" s="39" t="str">
        <x:v>LOCKED</x:v>
      </x:c>
      <x:c r="M77" s="39" t="str">
        <x:v>HS_I2C_SCL</x:v>
      </x:c>
      <x:c r="N77" s="39" t="str">
        <x:v>Dedicated ES8316 control bus; verify address and pull-ups.</x:v>
      </x:c>
      <x:c r="O77" s="39" t="str">
        <x:v>ES8316</x:v>
      </x:c>
      <x:c r="P77" s="39" t="str">
        <x:v>https://dl.radxa.com/cm5/v2210/radxa_cm5_v2210_pinout.xlsx</x:v>
      </x:c>
    </x:row>
    <x:row r="78" ht="30" customHeight="1">
      <x:c r="A78" s="39" t="str">
        <x:v>HSDET-036</x:v>
      </x:c>
      <x:c r="B78" s="39" t="str">
        <x:v>Headset</x:v>
      </x:c>
      <x:c r="C78" s="39" t="str">
        <x:v>Detect</x:v>
      </x:c>
      <x:c r="D78" s="39" t="str">
        <x:v>CTIA jack detect</x:v>
      </x:c>
      <x:c r="E78" s="39" t="str">
        <x:v>J1</x:v>
      </x:c>
      <x:c r="F78" s="79" t="n">
        <x:v>36</x:v>
      </x:c>
      <x:c r="G78" s="39" t="str">
        <x:v>HP_DET_L</x:v>
      </x:c>
      <x:c r="H78" s="39" t="str">
        <x:v>R38</x:v>
      </x:c>
      <x:c r="I78" s="39" t="str">
        <x:v>GPIO1_C0_z</x:v>
      </x:c>
      <x:c r="J78" s="39" t="str">
        <x:v>Input</x:v>
      </x:c>
      <x:c r="K78" s="39" t="str">
        <x:v>3.3 V active low</x:v>
      </x:c>
      <x:c r="L78" s="39" t="str">
        <x:v>LOCKED</x:v>
      </x:c>
      <x:c r="M78" s="39" t="str">
        <x:v>HS_JACK_DET_N</x:v>
      </x:c>
      <x:c r="N78" s="39" t="str">
        <x:v>Direct detect input; I2C3_M0 is unavailable but I2C3_M1 remains separate.</x:v>
      </x:c>
      <x:c r="O78" s="39" t="str">
        <x:v>Headset jack detect</x:v>
      </x:c>
      <x:c r="P78" s="39" t="str">
        <x:v>https://dl.radxa.com/cm5/v2210/radxa_cm5_v2210_pinout.xlsx</x:v>
      </x:c>
    </x:row>
    <x:row r="79" ht="30" customHeight="1">
      <x:c r="A79" s="39" t="str">
        <x:v>DBG-051</x:v>
      </x:c>
      <x:c r="B79" s="39" t="str">
        <x:v>Debug</x:v>
      </x:c>
      <x:c r="C79" s="39" t="str">
        <x:v>UART2_M0</x:v>
      </x:c>
      <x:c r="D79" s="39" t="str">
        <x:v>UART2_RX_M0</x:v>
      </x:c>
      <x:c r="E79" s="39" t="str">
        <x:v>U13-A</x:v>
      </x:c>
      <x:c r="F79" s="79" t="n">
        <x:v>51</x:v>
      </x:c>
      <x:c r="G79" s="39" t="str">
        <x:v>UART2_RX_M0</x:v>
      </x:c>
      <x:c r="H79" s="39" t="str">
        <x:v>AH40</x:v>
      </x:c>
      <x:c r="I79" s="39" t="str">
        <x:v>UART2_RX_M0</x:v>
      </x:c>
      <x:c r="J79" s="39" t="str">
        <x:v>Input</x:v>
      </x:c>
      <x:c r="K79" s="39" t="str">
        <x:v>3.3 V UART</x:v>
      </x:c>
      <x:c r="L79" s="39" t="str">
        <x:v>LOCKED</x:v>
      </x:c>
      <x:c r="M79" s="39" t="str">
        <x:v>DBG_UART_RX</x:v>
      </x:c>
      <x:c r="N79" s="39" t="str">
        <x:v>Do not select I2S1_M1 on these pins.</x:v>
      </x:c>
      <x:c r="O79" s="39" t="str">
        <x:v>Internal debug header</x:v>
      </x:c>
      <x:c r="P79" s="39" t="str">
        <x:v>https://dl.radxa.com/cm5/v2210/radxa_cm5_v2210_pinout.xlsx</x:v>
      </x:c>
    </x:row>
    <x:row r="80" ht="30" customHeight="1">
      <x:c r="A80" s="40" t="str">
        <x:v>DBG-055</x:v>
      </x:c>
      <x:c r="B80" s="40" t="str">
        <x:v>Debug</x:v>
      </x:c>
      <x:c r="C80" s="40" t="str">
        <x:v>UART2_M0</x:v>
      </x:c>
      <x:c r="D80" s="40" t="str">
        <x:v>UART2_TX_M0</x:v>
      </x:c>
      <x:c r="E80" s="40" t="str">
        <x:v>U13-A</x:v>
      </x:c>
      <x:c r="F80" s="80" t="n">
        <x:v>55</x:v>
      </x:c>
      <x:c r="G80" s="40" t="str">
        <x:v>UART2_TX_M0</x:v>
      </x:c>
      <x:c r="H80" s="40" t="str">
        <x:v>AH39</x:v>
      </x:c>
      <x:c r="I80" s="40" t="str">
        <x:v>UART2_TX_M0</x:v>
      </x:c>
      <x:c r="J80" s="40" t="str">
        <x:v>Output</x:v>
      </x:c>
      <x:c r="K80" s="40" t="str">
        <x:v>3.3 V UART</x:v>
      </x:c>
      <x:c r="L80" s="40" t="str">
        <x:v>LOCKED</x:v>
      </x:c>
      <x:c r="M80" s="40" t="str">
        <x:v>DBG_UART_TX</x:v>
      </x:c>
      <x:c r="N80" s="40" t="str">
        <x:v>Do not select I2S1_M1 on these pins.</x:v>
      </x:c>
      <x:c r="O80" s="40" t="str">
        <x:v>Internal debug header</x:v>
      </x:c>
      <x:c r="P80" s="40" t="str">
        <x:v>https://dl.radxa.com/cm5/v2210/radxa_cm5_v2210_pinout.xlsx</x:v>
      </x:c>
    </x:row>
  </x:sheetData>
  <x:mergeCells>
    <x:mergeCell ref="A1:P1"/>
    <x:mergeCell ref="A2:P2"/>
  </x:mergeCells>
  <x:conditionalFormatting sqref="L5:L80">
    <x:cfRule type="containsText" dxfId="4" priority="1" operator="containsText" text="LOCKED"/>
    <x:cfRule type="containsText" dxfId="5" priority="2" operator="containsText" text="CONDITIONAL"/>
    <x:cfRule type="containsText" dxfId="6" priority="3" operator="containsText" text="RESERVED"/>
    <x:cfRule type="containsText" dxfId="7" priority="4" operator="containsText" text="OPEN"/>
  </x:conditionalFormatting>
  <x:dataValidations count="1">
    <x:dataValidation type="list" sqref="L5:L80">
      <x:formula1>"LOCKED,CONDITIONAL,RESERVED,OPEN"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27138d3de046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21" hidden="0" customWidth="1"/>
    <x:col min="4" max="4" width="31" hidden="0" customWidth="1"/>
    <x:col min="5" max="5" width="43" hidden="0" customWidth="1"/>
    <x:col min="6" max="6" width="16" hidden="0" customWidth="1"/>
    <x:col min="7" max="7" width="37" hidden="0" customWidth="1"/>
    <x:col min="8" max="8" width="47" hidden="0" customWidth="1"/>
  </x:cols>
  <x:sheetData>
    <x:row r="1" ht="30" customHeight="1">
      <x:c r="A1" s="3" t="str">
        <x:v>CM5 Resource Ownership Map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One owner per peripheral group. Reserved and excluded alternatives are deliberate design constraints.</x:v>
      </x:c>
      <x:c r="B2" s="7"/>
      <x:c r="C2" s="7"/>
      <x:c r="D2" s="7"/>
      <x:c r="E2" s="7"/>
      <x:c r="F2" s="7"/>
      <x:c r="G2" s="7"/>
      <x:c r="H2" s="7"/>
    </x:row>
    <x:row r="3" ht="30" customHeight="1"/>
    <x:row r="4" ht="34" customHeight="1">
      <x:c r="A4" s="17" t="str">
        <x:v>ID</x:v>
      </x:c>
      <x:c r="B4" s="18" t="str">
        <x:v>CM5 resource</x:v>
      </x:c>
      <x:c r="C4" s="18" t="str">
        <x:v>Selected mode</x:v>
      </x:c>
      <x:c r="D4" s="18" t="str">
        <x:v>Owner</x:v>
      </x:c>
      <x:c r="E4" s="18" t="str">
        <x:v>Physical pins</x:v>
      </x:c>
      <x:c r="F4" s="18" t="str">
        <x:v>Status</x:v>
      </x:c>
      <x:c r="G4" s="18" t="str">
        <x:v>Excluded alternate</x:v>
      </x:c>
      <x:c r="H4" s="19" t="str">
        <x:v>Implementation note</x:v>
      </x:c>
    </x:row>
    <x:row r="5" ht="30" customHeight="1">
      <x:c r="A5" s="38" t="str">
        <x:v>RES-01</x:v>
      </x:c>
      <x:c r="B5" s="38" t="str">
        <x:v>Native PHY1 MDI + LEDs</x:v>
      </x:c>
      <x:c r="C5" s="38" t="str">
        <x:v>Native Ethernet</x:v>
      </x:c>
      <x:c r="D5" s="38" t="str">
        <x:v>WAN1</x:v>
      </x:c>
      <x:c r="E5" s="38" t="str">
        <x:v>U13-A 3/4/5/6/9/10/11/12/15/17/19</x:v>
      </x:c>
      <x:c r="F5" s="38" t="str">
        <x:v>LOCKED</x:v>
      </x:c>
      <x:c r="G5" s="38" t="str">
        <x:v>No external PHY</x:v>
      </x:c>
      <x:c r="H5" s="38" t="str">
        <x:v>Direct MDI to magnetics/RJ45</x:v>
      </x:c>
    </x:row>
    <x:row r="6" ht="30" customHeight="1">
      <x:c r="A6" s="39" t="str">
        <x:v>RES-02</x:v>
      </x:c>
      <x:c r="B6" s="39" t="str">
        <x:v>PCIE20_0 lane</x:v>
      </x:c>
      <x:c r="C6" s="39" t="str">
        <x:v>PCIe Gen2 x1</x:v>
      </x:c>
      <x:c r="D6" s="39" t="str">
        <x:v>PCIe packet switch upstream</x:v>
      </x:c>
      <x:c r="E6" s="39" t="str">
        <x:v>U13-B 110/112/116/118/122/124</x:v>
      </x:c>
      <x:c r="F6" s="39" t="str">
        <x:v>LOCKED</x:v>
      </x:c>
      <x:c r="G6" s="39" t="str">
        <x:v>SATA30_0</x:v>
      </x:c>
      <x:c r="H6" s="39" t="str">
        <x:v>PI7C9X2G608GP upstream</x:v>
      </x:c>
    </x:row>
    <x:row r="7" ht="30" customHeight="1">
      <x:c r="A7" s="39" t="str">
        <x:v>RES-03</x:v>
      </x:c>
      <x:c r="B7" s="39" t="str">
        <x:v>PCIE20X1_2 sidebands M0</x:v>
      </x:c>
      <x:c r="C7" s="39" t="str">
        <x:v>WAKE/CLKREQ/PERST</x:v>
      </x:c>
      <x:c r="D7" s="39" t="str">
        <x:v>PCIe packet switch upstream</x:v>
      </x:c>
      <x:c r="E7" s="39" t="str">
        <x:v>U13-A 24; U13-B 102/109</x:v>
      </x:c>
      <x:c r="F7" s="39" t="str">
        <x:v>LOCKED</x:v>
      </x:c>
      <x:c r="G7" s="39" t="str">
        <x:v>HDMI_TX0 M2, I2C5_M0, SPI3_M3</x:v>
      </x:c>
      <x:c r="H7" s="39" t="str">
        <x:v>Use official PCIe sideband timing</x:v>
      </x:c>
    </x:row>
    <x:row r="8" ht="30" customHeight="1">
      <x:c r="A8" s="39" t="str">
        <x:v>RES-04</x:v>
      </x:c>
      <x:c r="B8" s="39" t="str">
        <x:v>USB30_2 lane</x:v>
      </x:c>
      <x:c r="C8" s="39" t="str">
        <x:v>USB 3 host</x:v>
      </x:c>
      <x:c r="D8" s="39" t="str">
        <x:v>WWAN</x:v>
      </x:c>
      <x:c r="E8" s="39" t="str">
        <x:v>J1 51/53/57/59</x:v>
      </x:c>
      <x:c r="F8" s="39" t="str">
        <x:v>LOCKED</x:v>
      </x:c>
      <x:c r="G8" s="39" t="str">
        <x:v>PCIE20_2 and SATA30_2</x:v>
      </x:c>
      <x:c r="H8" s="39" t="str">
        <x:v>Dedicated M.2 B-Key SuperSpeed</x:v>
      </x:c>
    </x:row>
    <x:row r="9" ht="30" customHeight="1">
      <x:c r="A9" s="39" t="str">
        <x:v>RES-05</x:v>
      </x:c>
      <x:c r="B9" s="39" t="str">
        <x:v>USB20_HOST0</x:v>
      </x:c>
      <x:c r="C9" s="39" t="str">
        <x:v>USB 2 host</x:v>
      </x:c>
      <x:c r="D9" s="39" t="str">
        <x:v>WWAN</x:v>
      </x:c>
      <x:c r="E9" s="39" t="str">
        <x:v>J1 63/65</x:v>
      </x:c>
      <x:c r="F9" s="39" t="str">
        <x:v>LOCKED</x:v>
      </x:c>
      <x:c r="G9" s="39" t="str">
        <x:v>No spare host0</x:v>
      </x:c>
      <x:c r="H9" s="39" t="str">
        <x:v>Modem control/fallback data</x:v>
      </x:c>
    </x:row>
    <x:row r="10" ht="30" customHeight="1">
      <x:c r="A10" s="39" t="str">
        <x:v>RES-06</x:v>
      </x:c>
      <x:c r="B10" s="39" t="str">
        <x:v>USB20_HOST1</x:v>
      </x:c>
      <x:c r="C10" s="39" t="str">
        <x:v>USB 2 host</x:v>
      </x:c>
      <x:c r="D10" s="39" t="str">
        <x:v>Touchscreen touch</x:v>
      </x:c>
      <x:c r="E10" s="39" t="str">
        <x:v>J1 45/47</x:v>
      </x:c>
      <x:c r="F10" s="39" t="str">
        <x:v>CONDITIONAL</x:v>
      </x:c>
      <x:c r="G10" s="39" t="str">
        <x:v>No spare host1</x:v>
      </x:c>
      <x:c r="H10" s="39" t="str">
        <x:v>Requires monitor USB2 enumeration test</x:v>
      </x:c>
    </x:row>
    <x:row r="11" ht="30" customHeight="1">
      <x:c r="A11" s="39" t="str">
        <x:v>RES-07</x:v>
      </x:c>
      <x:c r="B11" s="39" t="str">
        <x:v>Type-C0 USB2 OTG</x:v>
      </x:c>
      <x:c r="C11" s="39" t="str">
        <x:v>USB 2 device/OTG</x:v>
      </x:c>
      <x:c r="D11" s="39" t="str">
        <x:v>Internal recovery</x:v>
      </x:c>
      <x:c r="E11" s="39" t="str">
        <x:v>U13-B 101/103/105; J1 97</x:v>
      </x:c>
      <x:c r="F11" s="39" t="str">
        <x:v>LOCKED</x:v>
      </x:c>
      <x:c r="G11" s="39" t="str">
        <x:v>Not a user USB host</x:v>
      </x:c>
      <x:c r="H11" s="39" t="str">
        <x:v>Internal recovery/provisioning connector</x:v>
      </x:c>
    </x:row>
    <x:row r="12" ht="30" customHeight="1">
      <x:c r="A12" s="39" t="str">
        <x:v>RES-08</x:v>
      </x:c>
      <x:c r="B12" s="39" t="str">
        <x:v>Type-C0 SuperSpeed/DP lanes</x:v>
      </x:c>
      <x:c r="C12" s="39" t="str">
        <x:v>Unrouted</x:v>
      </x:c>
      <x:c r="D12" s="39" t="str">
        <x:v>Reserved</x:v>
      </x:c>
      <x:c r="E12" s="39" t="str">
        <x:v>J1 9/11/15/17/21/23/27/29</x:v>
      </x:c>
      <x:c r="F12" s="39" t="str">
        <x:v>RESERVED</x:v>
      </x:c>
      <x:c r="G12" s="39" t="str">
        <x:v>No second USB3 claim</x:v>
      </x:c>
      <x:c r="H12" s="39" t="str">
        <x:v>Leave controlled NC unless architecture changes</x:v>
      </x:c>
    </x:row>
    <x:row r="13" ht="30" customHeight="1">
      <x:c r="A13" s="39" t="str">
        <x:v>RES-09</x:v>
      </x:c>
      <x:c r="B13" s="39" t="str">
        <x:v>HDMI_TX0</x:v>
      </x:c>
      <x:c r="C13" s="39" t="str">
        <x:v>HDMI</x:v>
      </x:c>
      <x:c r="D13" s="39" t="str">
        <x:v>Lid touchscreen video</x:v>
      </x:c>
      <x:c r="E13" s="39" t="str">
        <x:v>U13-B 151/153/170/172/176/178/182/184/188/190/199/200</x:v>
      </x:c>
      <x:c r="F13" s="39" t="str">
        <x:v>LOCKED</x:v>
      </x:c>
      <x:c r="G13" s="39" t="str">
        <x:v>EDP_TX0</x:v>
      </x:c>
      <x:c r="H13" s="39" t="str">
        <x:v>Full HDMI path with ESD and DDC/CEC/HPD</x:v>
      </x:c>
    </x:row>
    <x:row r="14" ht="30" customHeight="1">
      <x:c r="A14" s="39" t="str">
        <x:v>RES-10</x:v>
      </x:c>
      <x:c r="B14" s="39" t="str">
        <x:v>HDMI sideband/HEAC</x:v>
      </x:c>
      <x:c r="C14" s="39" t="str">
        <x:v>HDMI sideband</x:v>
      </x:c>
      <x:c r="D14" s="39" t="str">
        <x:v>Reserved for HDMI decision</x:v>
      </x:c>
      <x:c r="E14" s="39" t="str">
        <x:v>U13-B 145/147</x:v>
      </x:c>
      <x:c r="F14" s="39" t="str">
        <x:v>RESERVED</x:v>
      </x:c>
      <x:c r="G14" s="39" t="str">
        <x:v>EDP AUX</x:v>
      </x:c>
      <x:c r="H14" s="39" t="str">
        <x:v>Route or DNP only after connector review</x:v>
      </x:c>
    </x:row>
    <x:row r="15" ht="30" customHeight="1">
      <x:c r="A15" s="39" t="str">
        <x:v>RES-11</x:v>
      </x:c>
      <x:c r="B15" s="39" t="str">
        <x:v>I2S0 TX + SDI0</x:v>
      </x:c>
      <x:c r="C15" s="39" t="str">
        <x:v>TDM</x:v>
      </x:c>
      <x:c r="D15" s="39" t="str">
        <x:v>AK5558VN/AK4458VN 8x8</x:v>
      </x:c>
      <x:c r="E15" s="39" t="str">
        <x:v>U13-A 34/46/48/50/54</x:v>
      </x:c>
      <x:c r="F15" s="39" t="str">
        <x:v>LOCKED</x:v>
      </x:c>
      <x:c r="G15" s="39" t="str">
        <x:v>I2C/UART/PWM/SPI alternates</x:v>
      </x:c>
      <x:c r="H15" s="39" t="str">
        <x:v>Main audio bus only</x:v>
      </x:c>
    </x:row>
    <x:row r="16" ht="30" customHeight="1">
      <x:c r="A16" s="39" t="str">
        <x:v>RES-12</x:v>
      </x:c>
      <x:c r="B16" s="39" t="str">
        <x:v>I2S1_M0</x:v>
      </x:c>
      <x:c r="C16" s="39" t="str">
        <x:v>I2S</x:v>
      </x:c>
      <x:c r="D16" s="39" t="str">
        <x:v>ES8316 headset</x:v>
      </x:c>
      <x:c r="E16" s="39" t="str">
        <x:v>U13-A 28/30/31/100; J1 40</x:v>
      </x:c>
      <x:c r="F16" s="39" t="str">
        <x:v>LOCKED</x:v>
      </x:c>
      <x:c r="G16" s="39" t="str">
        <x:v>SPI0_M1 and PCIE20X1_1 M1 sidebands</x:v>
      </x:c>
      <x:c r="H16" s="39" t="str">
        <x:v>Separate headset bus</x:v>
      </x:c>
    </x:row>
    <x:row r="17" ht="30" customHeight="1">
      <x:c r="A17" s="39" t="str">
        <x:v>RES-13</x:v>
      </x:c>
      <x:c r="B17" s="39" t="str">
        <x:v>I2S1_M1</x:v>
      </x:c>
      <x:c r="C17" s="39" t="str">
        <x:v>Prohibited</x:v>
      </x:c>
      <x:c r="D17" s="39" t="str">
        <x:v>None</x:v>
      </x:c>
      <x:c r="E17" s="39" t="str">
        <x:v>U13-A 51/55 and related pins</x:v>
      </x:c>
      <x:c r="F17" s="39" t="str">
        <x:v>RESERVED</x:v>
      </x:c>
      <x:c r="G17" s="39" t="str">
        <x:v>UART2_M0</x:v>
      </x:c>
      <x:c r="H17" s="39" t="str">
        <x:v>Do not select; debug UART owns 51/55</x:v>
      </x:c>
    </x:row>
    <x:row r="18" ht="30" customHeight="1">
      <x:c r="A18" s="39" t="str">
        <x:v>RES-14</x:v>
      </x:c>
      <x:c r="B18" s="39" t="str">
        <x:v>UART2_M0</x:v>
      </x:c>
      <x:c r="C18" s="39" t="str">
        <x:v>Debug UART</x:v>
      </x:c>
      <x:c r="D18" s="39" t="str">
        <x:v>Internal debug</x:v>
      </x:c>
      <x:c r="E18" s="39" t="str">
        <x:v>U13-A 51/55</x:v>
      </x:c>
      <x:c r="F18" s="39" t="str">
        <x:v>LOCKED</x:v>
      </x:c>
      <x:c r="G18" s="39" t="str">
        <x:v>I2S1_M1</x:v>
      </x:c>
      <x:c r="H18" s="39" t="str">
        <x:v>Preserved by I2S1_M0 choice</x:v>
      </x:c>
    </x:row>
    <x:row r="19" ht="30" customHeight="1">
      <x:c r="A19" s="39" t="str">
        <x:v>RES-15</x:v>
      </x:c>
      <x:c r="B19" s="39" t="str">
        <x:v>I2C7_M2</x:v>
      </x:c>
      <x:c r="C19" s="39" t="str">
        <x:v>3.3 V I2C</x:v>
      </x:c>
      <x:c r="D19" s="39" t="str">
        <x:v>System/audio controls</x:v>
      </x:c>
      <x:c r="E19" s="39" t="str">
        <x:v>U13-A 80/82</x:v>
      </x:c>
      <x:c r="F19" s="39" t="str">
        <x:v>LOCKED</x:v>
      </x:c>
      <x:c r="G19" s="39" t="str">
        <x:v>UART9/SPI0_M3</x:v>
      </x:c>
      <x:c r="H19" s="39" t="str">
        <x:v>Address and pull-up audit required</x:v>
      </x:c>
    </x:row>
    <x:row r="20" ht="30" customHeight="1">
      <x:c r="A20" s="39" t="str">
        <x:v>RES-16</x:v>
      </x:c>
      <x:c r="B20" s="39" t="str">
        <x:v>I2C3_M1</x:v>
      </x:c>
      <x:c r="C20" s="39" t="str">
        <x:v>3.3 V I2C</x:v>
      </x:c>
      <x:c r="D20" s="39" t="str">
        <x:v>ES8316</x:v>
      </x:c>
      <x:c r="E20" s="39" t="str">
        <x:v>J1 4/6</x:v>
      </x:c>
      <x:c r="F20" s="39" t="str">
        <x:v>LOCKED</x:v>
      </x:c>
      <x:c r="G20" s="39" t="str">
        <x:v>GMAC PTP/UART7/SPI1</x:v>
      </x:c>
      <x:c r="H20" s="39" t="str">
        <x:v>Dedicated headset-control bus</x:v>
      </x:c>
    </x:row>
    <x:row r="21" ht="30" customHeight="1">
      <x:c r="A21" s="40" t="str">
        <x:v>RES-17</x:v>
      </x:c>
      <x:c r="B21" s="40" t="str">
        <x:v>SDMMC</x:v>
      </x:c>
      <x:c r="C21" s="40" t="str">
        <x:v>Unused</x:v>
      </x:c>
      <x:c r="D21" s="40" t="str">
        <x:v>eMMC-only product</x:v>
      </x:c>
      <x:c r="E21" s="40" t="str">
        <x:v>U13-A 57/61/62/63/67/69; J1 74</x:v>
      </x:c>
      <x:c r="F21" s="40" t="str">
        <x:v>RESERVED</x:v>
      </x:c>
      <x:c r="G21" s="40" t="str">
        <x:v>No microSD</x:v>
      </x:c>
      <x:c r="H21" s="40" t="str">
        <x:v>Do not populate microSD interface</x:v>
      </x:c>
    </x:row>
  </x:sheetData>
  <x:mergeCells>
    <x:mergeCell ref="A1:H1"/>
    <x:mergeCell ref="A2:H2"/>
  </x:mergeCells>
  <x:conditionalFormatting sqref="F5:F21">
    <x:cfRule type="containsText" dxfId="8" priority="1" operator="containsText" text="LOCKED"/>
    <x:cfRule type="containsText" dxfId="9" priority="2" operator="containsText" text="CONDITIONAL"/>
    <x:cfRule type="containsText" dxfId="10" priority="3" operator="containsText" text="RESERVED"/>
    <x:cfRule type="containsText" dxfId="11" priority="4" operator="containsText" text="OPEN"/>
  </x:conditionalFormatting>
  <x:dataValidations count="1">
    <x:dataValidation type="list" sqref="F5:F21">
      <x:formula1>"LOCKED,CONDITIONAL,RESERVED,OPEN"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0d7f7df4649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31" hidden="0" customWidth="1"/>
    <x:col min="4" max="4" width="25" hidden="0" customWidth="1"/>
    <x:col min="5" max="5" width="40" hidden="0" customWidth="1"/>
    <x:col min="6" max="6" width="20" hidden="0" customWidth="1"/>
    <x:col min="7" max="7" width="16" hidden="0" customWidth="1"/>
    <x:col min="8" max="8" width="55" hidden="0" customWidth="1"/>
  </x:cols>
  <x:sheetData>
    <x:row r="1" ht="30" customHeight="1">
      <x:c r="A1" s="3" t="str">
        <x:v>Control And GPIO Allocation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Low-speed control is intentionally consolidated on I2C controllers/expanders to preserve CM5 pins.</x:v>
      </x:c>
      <x:c r="B2" s="7"/>
      <x:c r="C2" s="7"/>
      <x:c r="D2" s="7"/>
      <x:c r="E2" s="7"/>
      <x:c r="F2" s="7"/>
      <x:c r="G2" s="7"/>
      <x:c r="H2" s="7"/>
    </x:row>
    <x:row r="3" ht="30" customHeight="1"/>
    <x:row r="4" ht="34" customHeight="1">
      <x:c r="A4" s="17" t="str">
        <x:v>ID</x:v>
      </x:c>
      <x:c r="B4" s="18" t="str">
        <x:v>Function</x:v>
      </x:c>
      <x:c r="C4" s="18" t="str">
        <x:v>Implementation</x:v>
      </x:c>
      <x:c r="D4" s="18" t="str">
        <x:v>Bus / CM5 pin</x:v>
      </x:c>
      <x:c r="E4" s="18" t="str">
        <x:v>Device or signal group</x:v>
      </x:c>
      <x:c r="F4" s="18" t="str">
        <x:v>Direction</x:v>
      </x:c>
      <x:c r="G4" s="18" t="str">
        <x:v>Status</x:v>
      </x:c>
      <x:c r="H4" s="19" t="str">
        <x:v>Notes</x:v>
      </x:c>
    </x:row>
    <x:row r="5" ht="30" customHeight="1">
      <x:c r="A5" s="38" t="str">
        <x:v>CTL-01</x:v>
      </x:c>
      <x:c r="B5" s="38" t="str">
        <x:v>Four fan PWM/tach channels</x:v>
      </x:c>
      <x:c r="C5" s="38" t="str">
        <x:v>Dedicated fan controller</x:v>
      </x:c>
      <x:c r="D5" s="38" t="str">
        <x:v>I2C7_M2</x:v>
      </x:c>
      <x:c r="E5" s="38" t="str">
        <x:v>EMC2305-class</x:v>
      </x:c>
      <x:c r="F5" s="38" t="str">
        <x:v>Bidirectional control</x:v>
      </x:c>
      <x:c r="G5" s="38" t="str">
        <x:v>LOCKED</x:v>
      </x:c>
      <x:c r="H5" s="38" t="str">
        <x:v>No four-pair direct CM5 GPIO assignment</x:v>
      </x:c>
    </x:row>
    <x:row r="6" ht="30" customHeight="1">
      <x:c r="A6" s="39" t="str">
        <x:v>CTL-02</x:v>
      </x:c>
      <x:c r="B6" s="39" t="str">
        <x:v>Enclosure fan 1</x:v>
      </x:c>
      <x:c r="C6" s="39" t="str">
        <x:v>Fan-controller channel</x:v>
      </x:c>
      <x:c r="D6" s="39" t="str">
        <x:v>I2C7_M2</x:v>
      </x:c>
      <x:c r="E6" s="39" t="str">
        <x:v>Filtered intake</x:v>
      </x:c>
      <x:c r="F6" s="39" t="str">
        <x:v>PWM out / tach in</x:v>
      </x:c>
      <x:c r="G6" s="39" t="str">
        <x:v>LOCKED</x:v>
      </x:c>
      <x:c r="H6" s="39" t="str">
        <x:v>Permanent intake label</x:v>
      </x:c>
    </x:row>
    <x:row r="7" ht="30" customHeight="1">
      <x:c r="A7" s="39" t="str">
        <x:v>CTL-03</x:v>
      </x:c>
      <x:c r="B7" s="39" t="str">
        <x:v>Enclosure fan 2</x:v>
      </x:c>
      <x:c r="C7" s="39" t="str">
        <x:v>Fan-controller channel</x:v>
      </x:c>
      <x:c r="D7" s="39" t="str">
        <x:v>I2C7_M2</x:v>
      </x:c>
      <x:c r="E7" s="39" t="str">
        <x:v>Exhaust</x:v>
      </x:c>
      <x:c r="F7" s="39" t="str">
        <x:v>PWM out / tach in</x:v>
      </x:c>
      <x:c r="G7" s="39" t="str">
        <x:v>LOCKED</x:v>
      </x:c>
      <x:c r="H7" s="39" t="str">
        <x:v>Permanent exhaust label</x:v>
      </x:c>
    </x:row>
    <x:row r="8" ht="30" customHeight="1">
      <x:c r="A8" s="39" t="str">
        <x:v>CTL-04</x:v>
      </x:c>
      <x:c r="B8" s="39" t="str">
        <x:v>CM5 fan</x:v>
      </x:c>
      <x:c r="C8" s="39" t="str">
        <x:v>Fan-controller channel</x:v>
      </x:c>
      <x:c r="D8" s="39" t="str">
        <x:v>I2C7_M2</x:v>
      </x:c>
      <x:c r="E8" s="39" t="str">
        <x:v>CM5 heatsink fan</x:v>
      </x:c>
      <x:c r="F8" s="39" t="str">
        <x:v>PWM out / tach in</x:v>
      </x:c>
      <x:c r="G8" s="39" t="str">
        <x:v>LOCKED</x:v>
      </x:c>
      <x:c r="H8" s="39" t="str">
        <x:v>Fan opening remains directly over CM5</x:v>
      </x:c>
    </x:row>
    <x:row r="9" ht="30" customHeight="1">
      <x:c r="A9" s="39" t="str">
        <x:v>CTL-05</x:v>
      </x:c>
      <x:c r="B9" s="39" t="str">
        <x:v>Modem fan</x:v>
      </x:c>
      <x:c r="C9" s="39" t="str">
        <x:v>Fan-controller channel</x:v>
      </x:c>
      <x:c r="D9" s="39" t="str">
        <x:v>I2C7_M2</x:v>
      </x:c>
      <x:c r="E9" s="39" t="str">
        <x:v>WWAN heatsink fan</x:v>
      </x:c>
      <x:c r="F9" s="39" t="str">
        <x:v>PWM out / tach in</x:v>
      </x:c>
      <x:c r="G9" s="39" t="str">
        <x:v>LOCKED</x:v>
      </x:c>
      <x:c r="H9" s="39" t="str">
        <x:v>Dedicated modem thermal channel</x:v>
      </x:c>
    </x:row>
    <x:row r="10" ht="30" customHeight="1">
      <x:c r="A10" s="39" t="str">
        <x:v>CTL-06</x:v>
      </x:c>
      <x:c r="B10" s="39" t="str">
        <x:v>Source selector status inputs</x:v>
      </x:c>
      <x:c r="C10" s="39" t="str">
        <x:v>I2C GPIO expander</x:v>
      </x:c>
      <x:c r="D10" s="39" t="str">
        <x:v>I2C7_M2</x:v>
      </x:c>
      <x:c r="E10" s="39" t="str">
        <x:v>Seven open-drain status nets</x:v>
      </x:c>
      <x:c r="F10" s="39" t="str">
        <x:v>Input</x:v>
      </x:c>
      <x:c r="G10" s="39" t="str">
        <x:v>LOCKED</x:v>
      </x:c>
      <x:c r="H10" s="39" t="str">
        <x:v>CH_24V_N, CH_BAT_N, VALID_24V_N, VALID_BAT_N, BAT_LOW_N, VALID_DTAP_N, VALID_GOLD_N</x:v>
      </x:c>
    </x:row>
    <x:row r="11" ht="30" customHeight="1">
      <x:c r="A11" s="39" t="str">
        <x:v>CTL-07</x:v>
      </x:c>
      <x:c r="B11" s="39" t="str">
        <x:v>Status LEDs</x:v>
      </x:c>
      <x:c r="C11" s="39" t="str">
        <x:v>I2C GPIO/LED driver</x:v>
      </x:c>
      <x:c r="D11" s="39" t="str">
        <x:v>I2C7_M2</x:v>
      </x:c>
      <x:c r="E11" s="39" t="str">
        <x:v>PWR/BACKUP/WIFI/CELL/TEMP/AUDIO</x:v>
      </x:c>
      <x:c r="F11" s="39" t="str">
        <x:v>Output</x:v>
      </x:c>
      <x:c r="G11" s="39" t="str">
        <x:v>LOCKED</x:v>
      </x:c>
      <x:c r="H11" s="39" t="str">
        <x:v>Do not consume six direct GPIOs</x:v>
      </x:c>
    </x:row>
    <x:row r="12" ht="30" customHeight="1">
      <x:c r="A12" s="39" t="str">
        <x:v>CTL-08</x:v>
      </x:c>
      <x:c r="B12" s="39" t="str">
        <x:v>Modem control bundle</x:v>
      </x:c>
      <x:c r="C12" s="39" t="str">
        <x:v>I2C GPIO expander</x:v>
      </x:c>
      <x:c r="D12" s="39" t="str">
        <x:v>I2C7_M2</x:v>
      </x:c>
      <x:c r="E12" s="39" t="str">
        <x:v>Power enable, full-card-off, disable, reset, SIM select</x:v>
      </x:c>
      <x:c r="F12" s="39" t="str">
        <x:v>Mixed</x:v>
      </x:c>
      <x:c r="G12" s="39" t="str">
        <x:v>LOCKED</x:v>
      </x:c>
      <x:c r="H12" s="39" t="str">
        <x:v>Control-voltage translation follows modem guide</x:v>
      </x:c>
    </x:row>
    <x:row r="13" ht="30" customHeight="1">
      <x:c r="A13" s="39" t="str">
        <x:v>CTL-09</x:v>
      </x:c>
      <x:c r="B13" s="39" t="str">
        <x:v>Wi-Fi rail enable</x:v>
      </x:c>
      <x:c r="C13" s="39" t="str">
        <x:v>I2C GPIO expander to load switch</x:v>
      </x:c>
      <x:c r="D13" s="39" t="str">
        <x:v>I2C7_M2</x:v>
      </x:c>
      <x:c r="E13" s="39" t="str">
        <x:v>WIFI_3V3 enable</x:v>
      </x:c>
      <x:c r="F13" s="39" t="str">
        <x:v>Output</x:v>
      </x:c>
      <x:c r="G13" s="39" t="str">
        <x:v>LOCKED</x:v>
      </x:c>
      <x:c r="H13" s="39" t="str">
        <x:v>Endpoint PERST remains part of PCIe reset design</x:v>
      </x:c>
    </x:row>
    <x:row r="14" ht="30" customHeight="1">
      <x:c r="A14" s="39" t="str">
        <x:v>CTL-10</x:v>
      </x:c>
      <x:c r="B14" s="39" t="str">
        <x:v>AKM reset/mute/enable</x:v>
      </x:c>
      <x:c r="C14" s="39" t="str">
        <x:v>I2C GPIO expander</x:v>
      </x:c>
      <x:c r="D14" s="39" t="str">
        <x:v>I2C7_M2</x:v>
      </x:c>
      <x:c r="E14" s="39" t="str">
        <x:v>ADC reset, DAC reset, DAC mute, audio enable</x:v>
      </x:c>
      <x:c r="F14" s="39" t="str">
        <x:v>Output</x:v>
      </x:c>
      <x:c r="G14" s="39" t="str">
        <x:v>LOCKED</x:v>
      </x:c>
      <x:c r="H14" s="39" t="str">
        <x:v>Power-up defaults must be safe</x:v>
      </x:c>
    </x:row>
    <x:row r="15" ht="30" customHeight="1">
      <x:c r="A15" s="39" t="str">
        <x:v>CTL-11</x:v>
      </x:c>
      <x:c r="B15" s="39" t="str">
        <x:v>Audio-board interrupt</x:v>
      </x:c>
      <x:c r="C15" s="39" t="str">
        <x:v>Direct CM5 GPIO</x:v>
      </x:c>
      <x:c r="D15" s="39" t="str">
        <x:v>U13-A 20 / GPIO0_A0</x:v>
      </x:c>
      <x:c r="E15" s="39" t="str">
        <x:v>AUD_IRQ_N</x:v>
      </x:c>
      <x:c r="F15" s="39" t="str">
        <x:v>Input</x:v>
      </x:c>
      <x:c r="G15" s="39" t="str">
        <x:v>LOCKED</x:v>
      </x:c>
      <x:c r="H15" s="39" t="str">
        <x:v>Latency/fault signal remains direct</x:v>
      </x:c>
    </x:row>
    <x:row r="16" ht="30" customHeight="1">
      <x:c r="A16" s="39" t="str">
        <x:v>CTL-12</x:v>
      </x:c>
      <x:c r="B16" s="39" t="str">
        <x:v>Headset jack detect</x:v>
      </x:c>
      <x:c r="C16" s="39" t="str">
        <x:v>Direct CM5 GPIO</x:v>
      </x:c>
      <x:c r="D16" s="39" t="str">
        <x:v>J1 36 / GPIO1_C0</x:v>
      </x:c>
      <x:c r="E16" s="39" t="str">
        <x:v>HS_JACK_DET_N</x:v>
      </x:c>
      <x:c r="F16" s="39" t="str">
        <x:v>Input</x:v>
      </x:c>
      <x:c r="G16" s="39" t="str">
        <x:v>LOCKED</x:v>
      </x:c>
      <x:c r="H16" s="39" t="str">
        <x:v>Keep I2C3_M0 unavailable</x:v>
      </x:c>
    </x:row>
    <x:row r="17" ht="30" customHeight="1">
      <x:c r="A17" s="39" t="str">
        <x:v>CTL-13</x:v>
      </x:c>
      <x:c r="B17" s="39" t="str">
        <x:v>GPIO-expander interrupt</x:v>
      </x:c>
      <x:c r="C17" s="39" t="str">
        <x:v>Direct CM5 GPIO</x:v>
      </x:c>
      <x:c r="D17" s="39" t="str">
        <x:v>TBD during detailed schematic</x:v>
      </x:c>
      <x:c r="E17" s="39" t="str">
        <x:v>Combined expander IRQ</x:v>
      </x:c>
      <x:c r="F17" s="39" t="str">
        <x:v>Input</x:v>
      </x:c>
      <x:c r="G17" s="39" t="str">
        <x:v>OPEN</x:v>
      </x:c>
      <x:c r="H17" s="39" t="str">
        <x:v>Assign one unused direct GPIO after exact expander and polarity are selected</x:v>
      </x:c>
    </x:row>
    <x:row r="18" ht="30" customHeight="1">
      <x:c r="A18" s="40" t="str">
        <x:v>CTL-14</x:v>
      </x:c>
      <x:c r="B18" s="40" t="str">
        <x:v>Temperature sensors</x:v>
      </x:c>
      <x:c r="C18" s="40" t="str">
        <x:v>I2C sensors</x:v>
      </x:c>
      <x:c r="D18" s="40" t="str">
        <x:v>I2C7_M2</x:v>
      </x:c>
      <x:c r="E18" s="40" t="str">
        <x:v>CM5/modem/power/audio hot-zone sensors</x:v>
      </x:c>
      <x:c r="F18" s="40" t="str">
        <x:v>Input</x:v>
      </x:c>
      <x:c r="G18" s="40" t="str">
        <x:v>LOCKED</x:v>
      </x:c>
      <x:c r="H18" s="40" t="str">
        <x:v>Audit addresses and alert wiring</x:v>
      </x:c>
    </x:row>
  </x:sheetData>
  <x:mergeCells>
    <x:mergeCell ref="A1:H1"/>
    <x:mergeCell ref="A2:H2"/>
  </x:mergeCells>
  <x:conditionalFormatting sqref="G5:G18">
    <x:cfRule type="containsText" dxfId="12" priority="1" operator="containsText" text="LOCKED"/>
    <x:cfRule type="containsText" dxfId="13" priority="2" operator="containsText" text="CONDITIONAL"/>
    <x:cfRule type="containsText" dxfId="14" priority="3" operator="containsText" text="RESERVED"/>
    <x:cfRule type="containsText" dxfId="15" priority="4" operator="containsText" text="OPEN"/>
  </x:conditionalFormatting>
  <x:dataValidations count="1">
    <x:dataValidation type="list" sqref="G5:G18">
      <x:formula1>"LOCKED,CONDITIONAL,RESERVED,OPEN"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7162b49c3540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43" hidden="0" customWidth="1"/>
    <x:col min="4" max="4" width="37" hidden="0" customWidth="1"/>
    <x:col min="5" max="5" width="56" hidden="0" customWidth="1"/>
    <x:col min="6" max="6" width="13" hidden="0" customWidth="1"/>
    <x:col min="7" max="7" width="15" hidden="0" customWidth="1"/>
    <x:col min="8" max="8" width="55" hidden="0" customWidth="1"/>
  </x:cols>
  <x:sheetData>
    <x:row r="1" ht="30" customHeight="1">
      <x:c r="A1" s="3" t="str">
        <x:v>Resource Conflict And Release Ledger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CLOSED means ownership is resolved. ACTION means the pin plan is usable but the listed validation remains before release.</x:v>
      </x:c>
      <x:c r="B2" s="7"/>
      <x:c r="C2" s="7"/>
      <x:c r="D2" s="7"/>
      <x:c r="E2" s="7"/>
      <x:c r="F2" s="7"/>
      <x:c r="G2" s="7"/>
      <x:c r="H2" s="7"/>
    </x:row>
    <x:row r="3" ht="30" customHeight="1"/>
    <x:row r="4" ht="34" customHeight="1">
      <x:c r="A4" s="17" t="str">
        <x:v>ID</x:v>
      </x:c>
      <x:c r="B4" s="18" t="str">
        <x:v>Shared resource</x:v>
      </x:c>
      <x:c r="C4" s="18" t="str">
        <x:v>Competing functions</x:v>
      </x:c>
      <x:c r="D4" s="18" t="str">
        <x:v>Chosen owner</x:v>
      </x:c>
      <x:c r="E4" s="18" t="str">
        <x:v>Required action</x:v>
      </x:c>
      <x:c r="F4" s="18" t="str">
        <x:v>Severity</x:v>
      </x:c>
      <x:c r="G4" s="18" t="str">
        <x:v>Status</x:v>
      </x:c>
      <x:c r="H4" s="19" t="str">
        <x:v>Evidence / rationale</x:v>
      </x:c>
    </x:row>
    <x:row r="5" ht="30" customHeight="1">
      <x:c r="A5" s="38" t="str">
        <x:v>CF-01</x:v>
      </x:c>
      <x:c r="B5" s="38" t="str">
        <x:v>U13-A 51/55</x:v>
      </x:c>
      <x:c r="C5" s="38" t="str">
        <x:v>I2S1_M1 versus UART2_M0</x:v>
      </x:c>
      <x:c r="D5" s="38" t="str">
        <x:v>UART2_M0 debug; headset uses I2S1_M0</x:v>
      </x:c>
      <x:c r="E5" s="38" t="str">
        <x:v>Prohibit I2S1_M1 in schematic and device tree.</x:v>
      </x:c>
      <x:c r="F5" s="38" t="str">
        <x:v>HIGH</x:v>
      </x:c>
      <x:c r="G5" s="38" t="str">
        <x:v>CLOSED</x:v>
      </x:c>
      <x:c r="H5" s="38" t="str">
        <x:v>V2.21 pinout lists I2S1_SCLK_TX_M1 / I2S1_MCLK_M1 on the UART2 pins.</x:v>
      </x:c>
    </x:row>
    <x:row r="6" ht="30" customHeight="1">
      <x:c r="A6" s="39" t="str">
        <x:v>CF-02</x:v>
      </x:c>
      <x:c r="B6" s="39" t="str">
        <x:v>U13-A 28/30/31/100</x:v>
      </x:c>
      <x:c r="C6" s="39" t="str">
        <x:v>I2S1_M0 versus SPI0_M1 and PCIe20X1_1 M1 sidebands</x:v>
      </x:c>
      <x:c r="D6" s="39" t="str">
        <x:v>I2S1_M0 headset</x:v>
      </x:c>
      <x:c r="E6" s="39" t="str">
        <x:v>Mark SPI0_M1 and the conflicting PCIe sidebands unavailable.</x:v>
      </x:c>
      <x:c r="F6" s="39" t="str">
        <x:v>HIGH</x:v>
      </x:c>
      <x:c r="G6" s="39" t="str">
        <x:v>CLOSED</x:v>
      </x:c>
      <x:c r="H6" s="39" t="str">
        <x:v>Headset bus has priority; no SPI0_M1 requirement exists.</x:v>
      </x:c>
    </x:row>
    <x:row r="7" ht="30" customHeight="1">
      <x:c r="A7" s="39" t="str">
        <x:v>CF-03</x:v>
      </x:c>
      <x:c r="B7" s="39" t="str">
        <x:v>J1 51/53/57/59</x:v>
      </x:c>
      <x:c r="C7" s="39" t="str">
        <x:v>USB30_2 versus PCIE20_2 versus SATA30_2</x:v>
      </x:c>
      <x:c r="D7" s="39" t="str">
        <x:v>USB30_2 WWAN</x:v>
      </x:c>
      <x:c r="E7" s="39" t="str">
        <x:v>Lock PHY mode and do not route PCIe/SATA alternatives.</x:v>
      </x:c>
      <x:c r="F7" s="39" t="str">
        <x:v>HIGH</x:v>
      </x:c>
      <x:c r="G7" s="39" t="str">
        <x:v>CLOSED</x:v>
      </x:c>
      <x:c r="H7" s="39" t="str">
        <x:v>WWAN uses USB; network PCIe already uses PCIE20_0.</x:v>
      </x:c>
    </x:row>
    <x:row r="8" ht="30" customHeight="1">
      <x:c r="A8" s="39" t="str">
        <x:v>CF-04</x:v>
      </x:c>
      <x:c r="B8" s="39" t="str">
        <x:v>J1 63/65</x:v>
      </x:c>
      <x:c r="C8" s="39" t="str">
        <x:v>USB20_HOST0 alternate ownership</x:v>
      </x:c>
      <x:c r="D8" s="39" t="str">
        <x:v>WWAN USB2</x:v>
      </x:c>
      <x:c r="E8" s="39" t="str">
        <x:v>Label both ends WWAN and keep free of hubs/stubs.</x:v>
      </x:c>
      <x:c r="F8" s="39" t="str">
        <x:v>HIGH</x:v>
      </x:c>
      <x:c r="G8" s="39" t="str">
        <x:v>CLOSED</x:v>
      </x:c>
      <x:c r="H8" s="39" t="str">
        <x:v>Modem needs USB2 control/fallback beside USB3.</x:v>
      </x:c>
    </x:row>
    <x:row r="9" ht="30" customHeight="1">
      <x:c r="A9" s="39" t="str">
        <x:v>CF-05</x:v>
      </x:c>
      <x:c r="B9" s="39" t="str">
        <x:v>J1 45/47</x:v>
      </x:c>
      <x:c r="C9" s="39" t="str">
        <x:v>USB20_HOST1 for monitor touch</x:v>
      </x:c>
      <x:c r="D9" s="39" t="str">
        <x:v>Touchscreen touch</x:v>
      </x:c>
      <x:c r="E9" s="39" t="str">
        <x:v>Bench-test exact monitor through USB2 contacts of its SuperSpeed Type-B receptacle.</x:v>
      </x:c>
      <x:c r="F9" s="39" t="str">
        <x:v>HIGH</x:v>
      </x:c>
      <x:c r="G9" s="39" t="str">
        <x:v>ACTION</x:v>
      </x:c>
      <x:c r="H9" s="39" t="str">
        <x:v>If touch requires SuperSpeed, it conflicts with the dedicated WWAN USB3 allocation.</x:v>
      </x:c>
    </x:row>
    <x:row r="10" ht="30" customHeight="1">
      <x:c r="A10" s="39" t="str">
        <x:v>CF-06</x:v>
      </x:c>
      <x:c r="B10" s="39" t="str">
        <x:v>U13-B 103/105</x:v>
      </x:c>
      <x:c r="C10" s="39" t="str">
        <x:v>Type-C0 OTG versus user host</x:v>
      </x:c>
      <x:c r="D10" s="39" t="str">
        <x:v>Internal recovery</x:v>
      </x:c>
      <x:c r="E10" s="39" t="str">
        <x:v>Implement internal-only recovery connector and correct CC/role behavior.</x:v>
      </x:c>
      <x:c r="F10" s="39" t="str">
        <x:v>MEDIUM</x:v>
      </x:c>
      <x:c r="G10" s="39" t="str">
        <x:v>CLOSED</x:v>
      </x:c>
      <x:c r="H10" s="39" t="str">
        <x:v>User removed top-panel recovery connector.</x:v>
      </x:c>
    </x:row>
    <x:row r="11" ht="30" customHeight="1">
      <x:c r="A11" s="39" t="str">
        <x:v>CF-07</x:v>
      </x:c>
      <x:c r="B11" s="39" t="str">
        <x:v>U13-B 145/147</x:v>
      </x:c>
      <x:c r="C11" s="39" t="str">
        <x:v>HDMI HEAC/ARC versus EDP AUX</x:v>
      </x:c>
      <x:c r="D11" s="39" t="str">
        <x:v>Reserved HDMI sideband</x:v>
      </x:c>
      <x:c r="E11" s="39" t="str">
        <x:v>Choose routed versus DNP only with final HDMI connector schematic.</x:v>
      </x:c>
      <x:c r="F11" s="39" t="str">
        <x:v>LOW</x:v>
      </x:c>
      <x:c r="G11" s="39" t="str">
        <x:v>ACTION</x:v>
      </x:c>
      <x:c r="H11" s="39" t="str">
        <x:v>Main display requires HDMI video, not EDP.</x:v>
      </x:c>
    </x:row>
    <x:row r="12" ht="30" customHeight="1">
      <x:c r="A12" s="39" t="str">
        <x:v>CF-08</x:v>
      </x:c>
      <x:c r="B12" s="39" t="str">
        <x:v>U13-A 80/82</x:v>
      </x:c>
      <x:c r="C12" s="39" t="str">
        <x:v>I2C7 shared by audio and system controls</x:v>
      </x:c>
      <x:c r="D12" s="39" t="str">
        <x:v>Shared I2C7_M2</x:v>
      </x:c>
      <x:c r="E12" s="39" t="str">
        <x:v>Complete address, capacitance, pull-up, level, and stuck-bus analysis.</x:v>
      </x:c>
      <x:c r="F12" s="39" t="str">
        <x:v>HIGH</x:v>
      </x:c>
      <x:c r="G12" s="39" t="str">
        <x:v>ACTION</x:v>
      </x:c>
      <x:c r="H12" s="39" t="str">
        <x:v>Bus crosses to AUDIO-8X8 and serves several local controllers.</x:v>
      </x:c>
    </x:row>
    <x:row r="13" ht="30" customHeight="1">
      <x:c r="A13" s="39" t="str">
        <x:v>CF-09</x:v>
      </x:c>
      <x:c r="B13" s="39" t="str">
        <x:v>Direct GPIO budget</x:v>
      </x:c>
      <x:c r="C13" s="39" t="str">
        <x:v>Fans, source status, LEDs, modem, and audio controls</x:v>
      </x:c>
      <x:c r="D13" s="39" t="str">
        <x:v>I2C controllers/expanders</x:v>
      </x:c>
      <x:c r="E13" s="39" t="str">
        <x:v>Select exact expanders and assign one direct combined interrupt GPIO.</x:v>
      </x:c>
      <x:c r="F13" s="39" t="str">
        <x:v>MEDIUM</x:v>
      </x:c>
      <x:c r="G13" s="39" t="str">
        <x:v>ACTION</x:v>
      </x:c>
      <x:c r="H13" s="39" t="str">
        <x:v>Avoids uncontrolled direct-pin consumption.</x:v>
      </x:c>
    </x:row>
    <x:row r="14" ht="30" customHeight="1">
      <x:c r="A14" s="39" t="str">
        <x:v>CF-10</x:v>
      </x:c>
      <x:c r="B14" s="39" t="str">
        <x:v>VCC_SYSIN</x:v>
      </x:c>
      <x:c r="C14" s="39" t="str">
        <x:v>5.15 V target versus unconfirmed CM5 input tolerance</x:v>
      </x:c>
      <x:c r="D14" s="39" t="str">
        <x:v>All six VCC_SYSIN pins</x:v>
      </x:c>
      <x:c r="E14" s="39" t="str">
        <x:v>Verify official allowed range plus setpoint, tolerance, overshoot, and connector drop.</x:v>
      </x:c>
      <x:c r="F14" s="39" t="str">
        <x:v>HIGH</x:v>
      </x:c>
      <x:c r="G14" s="39" t="str">
        <x:v>ACTION</x:v>
      </x:c>
      <x:c r="H14" s="39" t="str">
        <x:v>Pinout identifies a 5 V-class input but does not publish the complete tolerance window.</x:v>
      </x:c>
    </x:row>
    <x:row r="15" ht="30" customHeight="1">
      <x:c r="A15" s="39" t="str">
        <x:v>CF-11</x:v>
      </x:c>
      <x:c r="B15" s="39" t="str">
        <x:v>U13-B 106</x:v>
      </x:c>
      <x:c r="C15" s="39" t="str">
        <x:v>5V_HDMI source versus no-connect</x:v>
      </x:c>
      <x:c r="D15" s="39" t="str">
        <x:v>Controlled DNP/link option</x:v>
      </x:c>
      <x:c r="E15" s="39" t="str">
        <x:v>Resolve from final VCC_SYSIN choice and HDMI reference implementation.</x:v>
      </x:c>
      <x:c r="F15" s="39" t="str">
        <x:v>MEDIUM</x:v>
      </x:c>
      <x:c r="G15" s="39" t="str">
        <x:v>ACTION</x:v>
      </x:c>
      <x:c r="H15" s="39" t="str">
        <x:v>Official pinout makes this conditional on CM5 input voltage.</x:v>
      </x:c>
    </x:row>
    <x:row r="16" ht="30" customHeight="1">
      <x:c r="A16" s="39" t="str">
        <x:v>CF-12</x:v>
      </x:c>
      <x:c r="B16" s="39" t="str">
        <x:v>PCIe reset/clock</x:v>
      </x:c>
      <x:c r="C16" s="39" t="str">
        <x:v>Switch and endpoint sequencing</x:v>
      </x:c>
      <x:c r="D16" s="39" t="str">
        <x:v>PI7C9X2G608GP fabric</x:v>
      </x:c>
      <x:c r="E16" s="39" t="str">
        <x:v>Verify straps, clock fanout, endpoint PERST timing, and all-endpoints-active behavior.</x:v>
      </x:c>
      <x:c r="F16" s="39" t="str">
        <x:v>HIGH</x:v>
      </x:c>
      <x:c r="G16" s="39" t="str">
        <x:v>ACTION</x:v>
      </x:c>
      <x:c r="H16" s="39" t="str">
        <x:v>Pin ownership is closed; device-level timing remains open.</x:v>
      </x:c>
    </x:row>
    <x:row r="17" ht="30" customHeight="1">
      <x:c r="A17" s="39" t="str">
        <x:v>CF-13</x:v>
      </x:c>
      <x:c r="B17" s="39" t="str">
        <x:v>Software pinctrl</x:v>
      </x:c>
      <x:c r="C17" s="39" t="str">
        <x:v>Connector mux choice versus production kernel support</x:v>
      </x:c>
      <x:c r="D17" s="39" t="str">
        <x:v>Locked A0 mux plan</x:v>
      </x:c>
      <x:c r="E17" s="39" t="str">
        <x:v>Validate overlays/device tree on the exact Radxa production kernel.</x:v>
      </x:c>
      <x:c r="F17" s="39" t="str">
        <x:v>HIGH</x:v>
      </x:c>
      <x:c r="G17" s="39" t="str">
        <x:v>ACTION</x:v>
      </x:c>
      <x:c r="H17" s="39" t="str">
        <x:v>A legal SoC mux still needs software support and regression testing.</x:v>
      </x:c>
    </x:row>
    <x:row r="18" ht="30" customHeight="1">
      <x:c r="A18" s="40" t="str">
        <x:v>CF-14</x:v>
      </x:c>
      <x:c r="B18" s="40" t="str">
        <x:v>M.2 WWAN controls</x:v>
      </x:c>
      <x:c r="C18" s="40" t="str">
        <x:v>Broad socket compatibility versus modem-specific voltages/timing</x:v>
      </x:c>
      <x:c r="D18" s="40" t="str">
        <x:v>SIM8260G-M2 first validation target</x:v>
      </x:c>
      <x:c r="E18" s="40" t="str">
        <x:v>Close exact M.2 pin, level-shifter, reset, SIM, and power timing from current modem guide.</x:v>
      </x:c>
      <x:c r="F18" s="40" t="str">
        <x:v>HIGH</x:v>
      </x:c>
      <x:c r="G18" s="40" t="str">
        <x:v>ACTION</x:v>
      </x:c>
      <x:c r="H18" s="40" t="str">
        <x:v>Universal mechanical socket does not guarantee electrical compatibility with every modem.</x:v>
      </x:c>
    </x:row>
  </x:sheetData>
  <x:mergeCells>
    <x:mergeCell ref="A1:H1"/>
    <x:mergeCell ref="A2:H2"/>
  </x:mergeCells>
  <x:conditionalFormatting sqref="G5:G18">
    <x:cfRule type="containsText" dxfId="16" priority="1" operator="containsText" text="CLOSED"/>
    <x:cfRule type="containsText" dxfId="17" priority="2" operator="containsText" text="ACTION"/>
    <x:cfRule type="containsText" dxfId="18" priority="3" operator="containsText" text="BLOCKING"/>
  </x:conditionalFormatting>
  <x:conditionalFormatting sqref="F5:F18">
    <x:cfRule type="containsText" dxfId="19" priority="4" operator="containsText" text="HIGH"/>
  </x:conditionalFormatting>
  <x:dataValidations count="1">
    <x:dataValidation type="list" sqref="G5:G18">
      <x:formula1>"CLOSED,ACTION,BLOCKING"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56f9b9ad404b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8" hidden="0" customWidth="1"/>
    <x:col min="4" max="4" width="11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45" hidden="0" customWidth="1"/>
    <x:col min="16" max="16" width="24" hidden="0" customWidth="1"/>
    <x:col min="17" max="17" width="42" hidden="0" customWidth="1"/>
  </x:cols>
  <x:sheetData>
    <x:row r="1" ht="30" customHeight="1">
      <x:c r="A1" s="3" t="str">
        <x:v>Official V2.21 Source Rows Used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Normalized extract from the controlled Radxa pinout workbook. Function columns are copied without reinterpreting the vendor labels.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0" customHeight="1"/>
    <x:row r="4" ht="34" customHeight="1">
      <x:c r="A4" s="17" t="str">
        <x:v>Connector</x:v>
      </x:c>
      <x:c r="B4" s="18" t="str">
        <x:v>Pin</x:v>
      </x:c>
      <x:c r="C4" s="18" t="str">
        <x:v>Radxa CM5</x:v>
      </x:c>
      <x:c r="D4" s="18" t="str">
        <x:v>SoC ball</x:v>
      </x:c>
      <x:c r="E4" s="18" t="str">
        <x:v>Func1</x:v>
      </x:c>
      <x:c r="F4" s="18" t="str">
        <x:v>Func2</x:v>
      </x:c>
      <x:c r="G4" s="18" t="str">
        <x:v>Func3</x:v>
      </x:c>
      <x:c r="H4" s="18" t="str">
        <x:v>Func4</x:v>
      </x:c>
      <x:c r="I4" s="18" t="str">
        <x:v>Func5</x:v>
      </x:c>
      <x:c r="J4" s="18" t="str">
        <x:v>Func6</x:v>
      </x:c>
      <x:c r="K4" s="18" t="str">
        <x:v>Func7</x:v>
      </x:c>
      <x:c r="L4" s="18" t="str">
        <x:v>Func8</x:v>
      </x:c>
      <x:c r="M4" s="18" t="str">
        <x:v>Func9</x:v>
      </x:c>
      <x:c r="N4" s="18" t="str">
        <x:v>Func10</x:v>
      </x:c>
      <x:c r="O4" s="18" t="str">
        <x:v>Vendor note</x:v>
      </x:c>
      <x:c r="P4" s="18" t="str">
        <x:v>Allocation IDs</x:v>
      </x:c>
      <x:c r="Q4" s="19" t="str">
        <x:v>Source URL</x:v>
      </x:c>
    </x:row>
    <x:row r="5" ht="30" customHeight="1">
      <x:c r="A5" s="38" t="str">
        <x:v>J1</x:v>
      </x:c>
      <x:c r="B5" s="38" t="n">
        <x:v>4</x:v>
      </x:c>
      <x:c r="C5" s="38" t="str">
        <x:v>GPIO3_C0</x:v>
      </x:c>
      <x:c r="D5" s="38" t="str">
        <x:v>AR36</x:v>
      </x:c>
      <x:c r="E5" s="38" t="str">
        <x:v>GMAC1_PPSTRIG</x:v>
      </x:c>
      <x:c r="F5" s="38" t="str">
        <x:v>I2C3_SDA_M1</x:v>
      </x:c>
      <x:c r="G5" s="38" t="str">
        <x:v>UART7_TX_M1</x:v>
      </x:c>
      <x:c r="H5" s="38" t="str">
        <x:v>SPI1_MISO_M1</x:v>
      </x:c>
      <x:c r="I5" s="38" t="str">
        <x:v>GPIO3_C0_d</x:v>
      </x:c>
      <x:c r="J5" s="38" t="str"/>
      <x:c r="K5" s="38" t="str"/>
      <x:c r="L5" s="38" t="str"/>
      <x:c r="M5" s="38" t="str"/>
      <x:c r="N5" s="38" t="str"/>
      <x:c r="O5" s="38" t="str"/>
      <x:c r="P5" s="38" t="str">
        <x:v>HSI2C-004</x:v>
      </x:c>
      <x:c r="Q5" s="38" t="str">
        <x:v>https://dl.radxa.com/cm5/v2210/radxa_cm5_v2210_pinout.xlsx</x:v>
      </x:c>
    </x:row>
    <x:row r="6" ht="30" customHeight="1">
      <x:c r="A6" s="39" t="str">
        <x:v>J1</x:v>
      </x:c>
      <x:c r="B6" s="39" t="n">
        <x:v>6</x:v>
      </x:c>
      <x:c r="C6" s="39" t="str">
        <x:v>GPIO3_B7</x:v>
      </x:c>
      <x:c r="D6" s="39" t="str">
        <x:v>AY34</x:v>
      </x:c>
      <x:c r="E6" s="39" t="str">
        <x:v>GMAC1_PTP_REF_CLK</x:v>
      </x:c>
      <x:c r="F6" s="39" t="str">
        <x:v>I2C3_SCL_M1</x:v>
      </x:c>
      <x:c r="G6" s="39" t="str">
        <x:v>SPI1_MOSI_M1</x:v>
      </x:c>
      <x:c r="H6" s="39" t="str">
        <x:v>GPIO3_B7_d</x:v>
      </x:c>
      <x:c r="I6" s="39" t="str"/>
      <x:c r="J6" s="39" t="str"/>
      <x:c r="K6" s="39" t="str"/>
      <x:c r="L6" s="39" t="str"/>
      <x:c r="M6" s="39" t="str"/>
      <x:c r="N6" s="39" t="str"/>
      <x:c r="O6" s="39" t="str"/>
      <x:c r="P6" s="39" t="str">
        <x:v>HSI2C-006</x:v>
      </x:c>
      <x:c r="Q6" s="39" t="str">
        <x:v>https://dl.radxa.com/cm5/v2210/radxa_cm5_v2210_pinout.xlsx</x:v>
      </x:c>
    </x:row>
    <x:row r="7" ht="30" customHeight="1">
      <x:c r="A7" s="39" t="str">
        <x:v>J1</x:v>
      </x:c>
      <x:c r="B7" s="39" t="n">
        <x:v>26</x:v>
      </x:c>
      <x:c r="C7" s="39" t="str">
        <x:v>SARADC_VIN1_KEY/RECOVERY</x:v>
      </x:c>
      <x:c r="D7" s="39" t="str">
        <x:v>AY13</x:v>
      </x:c>
      <x:c r="E7" s="39" t="str">
        <x:v>SARADC_IN1</x:v>
      </x:c>
      <x:c r="F7" s="39" t="str"/>
      <x:c r="G7" s="39" t="str"/>
      <x:c r="H7" s="39" t="str"/>
      <x:c r="I7" s="39" t="str"/>
      <x:c r="J7" s="39" t="str"/>
      <x:c r="K7" s="39" t="str"/>
      <x:c r="L7" s="39" t="str"/>
      <x:c r="M7" s="39" t="str"/>
      <x:c r="N7" s="39" t="str"/>
      <x:c r="O7" s="39" t="str"/>
      <x:c r="P7" s="39" t="str">
        <x:v>SVC-J26</x:v>
      </x:c>
      <x:c r="Q7" s="39" t="str">
        <x:v>https://dl.radxa.com/cm5/v2210/radxa_cm5_v2210_pinout.xlsx</x:v>
      </x:c>
    </x:row>
    <x:row r="8" ht="30" customHeight="1">
      <x:c r="A8" s="39" t="str">
        <x:v>J1</x:v>
      </x:c>
      <x:c r="B8" s="39" t="n">
        <x:v>36</x:v>
      </x:c>
      <x:c r="C8" s="39" t="str">
        <x:v>HP_DET_L</x:v>
      </x:c>
      <x:c r="D8" s="39" t="str">
        <x:v>R38</x:v>
      </x:c>
      <x:c r="E8" s="39" t="str">
        <x:v>I2C3_SDA_M0</x:v>
      </x:c>
      <x:c r="F8" s="39" t="str">
        <x:v>UART3_RX_M0</x:v>
      </x:c>
      <x:c r="G8" s="39" t="str">
        <x:v>SPI4_MISO_M0</x:v>
      </x:c>
      <x:c r="H8" s="39" t="str">
        <x:v>GPIO1_C0_z</x:v>
      </x:c>
      <x:c r="I8" s="39" t="str"/>
      <x:c r="J8" s="39" t="str"/>
      <x:c r="K8" s="39" t="str"/>
      <x:c r="L8" s="39" t="str"/>
      <x:c r="M8" s="39" t="str"/>
      <x:c r="N8" s="39" t="str"/>
      <x:c r="O8" s="39" t="str"/>
      <x:c r="P8" s="39" t="str">
        <x:v>HSDET-036</x:v>
      </x:c>
      <x:c r="Q8" s="39" t="str">
        <x:v>https://dl.radxa.com/cm5/v2210/radxa_cm5_v2210_pinout.xlsx</x:v>
      </x:c>
    </x:row>
    <x:row r="9" ht="30" customHeight="1">
      <x:c r="A9" s="39" t="str">
        <x:v>J1</x:v>
      </x:c>
      <x:c r="B9" s="39" t="n">
        <x:v>40</x:v>
      </x:c>
      <x:c r="C9" s="39" t="str">
        <x:v>GPIO4_A5</x:v>
      </x:c>
      <x:c r="D9" s="39" t="str">
        <x:v>AU15</x:v>
      </x:c>
      <x:c r="E9" s="39" t="str">
        <x:v>CIF_D5</x:v>
      </x:c>
      <x:c r="F9" s="39" t="str">
        <x:v>BT1120_D5</x:v>
      </x:c>
      <x:c r="G9" s="39" t="str">
        <x:v>I2S1_SDI0_M0</x:v>
      </x:c>
      <x:c r="H9" s="39" t="str">
        <x:v>I2C3_SDA_M2</x:v>
      </x:c>
      <x:c r="I9" s="39" t="str">
        <x:v>UART3_TX_M2</x:v>
      </x:c>
      <x:c r="J9" s="39" t="str">
        <x:v>SPI2_MOSI_M1</x:v>
      </x:c>
      <x:c r="K9" s="39" t="str">
        <x:v>GPIO4_A5_d</x:v>
      </x:c>
      <x:c r="L9" s="39" t="str"/>
      <x:c r="M9" s="39" t="str"/>
      <x:c r="N9" s="39" t="str"/>
      <x:c r="O9" s="39" t="str"/>
      <x:c r="P9" s="39" t="str">
        <x:v>HS-040</x:v>
      </x:c>
      <x:c r="Q9" s="39" t="str">
        <x:v>https://dl.radxa.com/cm5/v2210/radxa_cm5_v2210_pinout.xlsx</x:v>
      </x:c>
    </x:row>
    <x:row r="10" ht="30" customHeight="1">
      <x:c r="A10" s="39" t="str">
        <x:v>J1</x:v>
      </x:c>
      <x:c r="B10" s="39" t="n">
        <x:v>45</x:v>
      </x:c>
      <x:c r="C10" s="39" t="str">
        <x:v>USB20_HOST1_DP</x:v>
      </x:c>
      <x:c r="D10" s="39" t="str">
        <x:v>AV7</x:v>
      </x:c>
      <x:c r="E10" s="39" t="str">
        <x:v>USB20_HOST1_DP</x:v>
      </x:c>
      <x:c r="F10" s="39" t="str"/>
      <x:c r="G10" s="39" t="str"/>
      <x:c r="H10" s="39" t="str"/>
      <x:c r="I10" s="39" t="str"/>
      <x:c r="J10" s="39" t="str"/>
      <x:c r="K10" s="39" t="str"/>
      <x:c r="L10" s="39" t="str"/>
      <x:c r="M10" s="39" t="str"/>
      <x:c r="N10" s="39" t="str"/>
      <x:c r="O10" s="39" t="str"/>
      <x:c r="P10" s="39" t="str">
        <x:v>USB-T-045</x:v>
      </x:c>
      <x:c r="Q10" s="39" t="str">
        <x:v>https://dl.radxa.com/cm5/v2210/radxa_cm5_v2210_pinout.xlsx</x:v>
      </x:c>
    </x:row>
    <x:row r="11" ht="30" customHeight="1">
      <x:c r="A11" s="39" t="str">
        <x:v>J1</x:v>
      </x:c>
      <x:c r="B11" s="39" t="n">
        <x:v>47</x:v>
      </x:c>
      <x:c r="C11" s="39" t="str">
        <x:v>USB20_HOST1_DM</x:v>
      </x:c>
      <x:c r="D11" s="39" t="str">
        <x:v>AW7</x:v>
      </x:c>
      <x:c r="E11" s="39" t="str">
        <x:v>USB20_HOST1_DM</x:v>
      </x:c>
      <x:c r="F11" s="39" t="str"/>
      <x:c r="G11" s="39" t="str"/>
      <x:c r="H11" s="39" t="str"/>
      <x:c r="I11" s="39" t="str"/>
      <x:c r="J11" s="39" t="str"/>
      <x:c r="K11" s="39" t="str"/>
      <x:c r="L11" s="39" t="str"/>
      <x:c r="M11" s="39" t="str"/>
      <x:c r="N11" s="39" t="str"/>
      <x:c r="O11" s="39" t="str"/>
      <x:c r="P11" s="39" t="str">
        <x:v>USB-T-047</x:v>
      </x:c>
      <x:c r="Q11" s="39" t="str">
        <x:v>https://dl.radxa.com/cm5/v2210/radxa_cm5_v2210_pinout.xlsx</x:v>
      </x:c>
    </x:row>
    <x:row r="12" ht="30" customHeight="1">
      <x:c r="A12" s="39" t="str">
        <x:v>J1</x:v>
      </x:c>
      <x:c r="B12" s="39" t="n">
        <x:v>51</x:v>
      </x:c>
      <x:c r="C12" s="39" t="str">
        <x:v>USB30_2_SSTXP</x:v>
      </x:c>
      <x:c r="D12" s="39" t="str">
        <x:v>E41</x:v>
      </x:c>
      <x:c r="E12" s="39" t="str">
        <x:v>PCIE20_2_TXP</x:v>
      </x:c>
      <x:c r="F12" s="39" t="str">
        <x:v>SATA30_2_TXP</x:v>
      </x:c>
      <x:c r="G12" s="39" t="str">
        <x:v>USB30_SSTXP</x:v>
      </x:c>
      <x:c r="H12" s="39" t="str"/>
      <x:c r="I12" s="39" t="str"/>
      <x:c r="J12" s="39" t="str"/>
      <x:c r="K12" s="39" t="str"/>
      <x:c r="L12" s="39" t="str"/>
      <x:c r="M12" s="39" t="str"/>
      <x:c r="N12" s="39" t="str"/>
      <x:c r="O12" s="39" t="str"/>
      <x:c r="P12" s="39" t="str">
        <x:v>USB-W-051</x:v>
      </x:c>
      <x:c r="Q12" s="39" t="str">
        <x:v>https://dl.radxa.com/cm5/v2210/radxa_cm5_v2210_pinout.xlsx</x:v>
      </x:c>
    </x:row>
    <x:row r="13" ht="30" customHeight="1">
      <x:c r="A13" s="39" t="str">
        <x:v>J1</x:v>
      </x:c>
      <x:c r="B13" s="39" t="n">
        <x:v>53</x:v>
      </x:c>
      <x:c r="C13" s="39" t="str">
        <x:v>USB30_2_SSTXN</x:v>
      </x:c>
      <x:c r="D13" s="39" t="str">
        <x:v>D41</x:v>
      </x:c>
      <x:c r="E13" s="39" t="str">
        <x:v>PCIE20_2_TXN</x:v>
      </x:c>
      <x:c r="F13" s="39" t="str">
        <x:v>SATA30_2_TXN</x:v>
      </x:c>
      <x:c r="G13" s="39" t="str">
        <x:v>USB30_SSTXN</x:v>
      </x:c>
      <x:c r="H13" s="39" t="str"/>
      <x:c r="I13" s="39" t="str"/>
      <x:c r="J13" s="39" t="str"/>
      <x:c r="K13" s="39" t="str"/>
      <x:c r="L13" s="39" t="str"/>
      <x:c r="M13" s="39" t="str"/>
      <x:c r="N13" s="39" t="str"/>
      <x:c r="O13" s="39" t="str"/>
      <x:c r="P13" s="39" t="str">
        <x:v>USB-W-053</x:v>
      </x:c>
      <x:c r="Q13" s="39" t="str">
        <x:v>https://dl.radxa.com/cm5/v2210/radxa_cm5_v2210_pinout.xlsx</x:v>
      </x:c>
    </x:row>
    <x:row r="14" ht="30" customHeight="1">
      <x:c r="A14" s="39" t="str">
        <x:v>J1</x:v>
      </x:c>
      <x:c r="B14" s="39" t="n">
        <x:v>57</x:v>
      </x:c>
      <x:c r="C14" s="39" t="str">
        <x:v>USB30_2_SSRXP</x:v>
      </x:c>
      <x:c r="D14" s="39" t="str">
        <x:v>D42</x:v>
      </x:c>
      <x:c r="E14" s="39" t="str">
        <x:v>PCIE20_2_RXP</x:v>
      </x:c>
      <x:c r="F14" s="39" t="str">
        <x:v>SATA30_2_RXP</x:v>
      </x:c>
      <x:c r="G14" s="39" t="str">
        <x:v>USB30_SSRXP</x:v>
      </x:c>
      <x:c r="H14" s="39" t="str"/>
      <x:c r="I14" s="39" t="str"/>
      <x:c r="J14" s="39" t="str"/>
      <x:c r="K14" s="39" t="str"/>
      <x:c r="L14" s="39" t="str"/>
      <x:c r="M14" s="39" t="str"/>
      <x:c r="N14" s="39" t="str"/>
      <x:c r="O14" s="39" t="str"/>
      <x:c r="P14" s="39" t="str">
        <x:v>USB-W-057</x:v>
      </x:c>
      <x:c r="Q14" s="39" t="str">
        <x:v>https://dl.radxa.com/cm5/v2210/radxa_cm5_v2210_pinout.xlsx</x:v>
      </x:c>
    </x:row>
    <x:row r="15" ht="30" customHeight="1">
      <x:c r="A15" s="39" t="str">
        <x:v>J1</x:v>
      </x:c>
      <x:c r="B15" s="39" t="n">
        <x:v>59</x:v>
      </x:c>
      <x:c r="C15" s="39" t="str">
        <x:v>USB30_2_SSRXN</x:v>
      </x:c>
      <x:c r="D15" s="39" t="str">
        <x:v>C42</x:v>
      </x:c>
      <x:c r="E15" s="39" t="str">
        <x:v>PCIE20_2_RXN</x:v>
      </x:c>
      <x:c r="F15" s="39" t="str">
        <x:v>SATA30_2_RXN</x:v>
      </x:c>
      <x:c r="G15" s="39" t="str">
        <x:v>USB30_SSRXN</x:v>
      </x:c>
      <x:c r="H15" s="39" t="str"/>
      <x:c r="I15" s="39" t="str"/>
      <x:c r="J15" s="39" t="str"/>
      <x:c r="K15" s="39" t="str"/>
      <x:c r="L15" s="39" t="str"/>
      <x:c r="M15" s="39" t="str"/>
      <x:c r="N15" s="39" t="str"/>
      <x:c r="O15" s="39" t="str"/>
      <x:c r="P15" s="39" t="str">
        <x:v>USB-W-059</x:v>
      </x:c>
      <x:c r="Q15" s="39" t="str">
        <x:v>https://dl.radxa.com/cm5/v2210/radxa_cm5_v2210_pinout.xlsx</x:v>
      </x:c>
    </x:row>
    <x:row r="16" ht="30" customHeight="1">
      <x:c r="A16" s="39" t="str">
        <x:v>J1</x:v>
      </x:c>
      <x:c r="B16" s="39" t="n">
        <x:v>63</x:v>
      </x:c>
      <x:c r="C16" s="39" t="str">
        <x:v>USB20_HOST0_DP</x:v>
      </x:c>
      <x:c r="D16" s="39" t="str">
        <x:v>AW6</x:v>
      </x:c>
      <x:c r="E16" s="39" t="str">
        <x:v>USB20_HOST0_DP</x:v>
      </x:c>
      <x:c r="F16" s="39" t="str"/>
      <x:c r="G16" s="39" t="str"/>
      <x:c r="H16" s="39" t="str"/>
      <x:c r="I16" s="39" t="str"/>
      <x:c r="J16" s="39" t="str"/>
      <x:c r="K16" s="39" t="str"/>
      <x:c r="L16" s="39" t="str"/>
      <x:c r="M16" s="39" t="str"/>
      <x:c r="N16" s="39" t="str"/>
      <x:c r="O16" s="39" t="str"/>
      <x:c r="P16" s="39" t="str">
        <x:v>USB-W-063</x:v>
      </x:c>
      <x:c r="Q16" s="39" t="str">
        <x:v>https://dl.radxa.com/cm5/v2210/radxa_cm5_v2210_pinout.xlsx</x:v>
      </x:c>
    </x:row>
    <x:row r="17" ht="30" customHeight="1">
      <x:c r="A17" s="39" t="str">
        <x:v>J1</x:v>
      </x:c>
      <x:c r="B17" s="39" t="n">
        <x:v>65</x:v>
      </x:c>
      <x:c r="C17" s="39" t="str">
        <x:v>USB20_HOST0_DM</x:v>
      </x:c>
      <x:c r="D17" s="39" t="str">
        <x:v>AV6</x:v>
      </x:c>
      <x:c r="E17" s="39" t="str">
        <x:v>USB20_HOST0_DM</x:v>
      </x:c>
      <x:c r="F17" s="39" t="str"/>
      <x:c r="G17" s="39" t="str"/>
      <x:c r="H17" s="39" t="str"/>
      <x:c r="I17" s="39" t="str"/>
      <x:c r="J17" s="39" t="str"/>
      <x:c r="K17" s="39" t="str"/>
      <x:c r="L17" s="39" t="str"/>
      <x:c r="M17" s="39" t="str"/>
      <x:c r="N17" s="39" t="str"/>
      <x:c r="O17" s="39" t="str"/>
      <x:c r="P17" s="39" t="str">
        <x:v>USB-W-065</x:v>
      </x:c>
      <x:c r="Q17" s="39" t="str">
        <x:v>https://dl.radxa.com/cm5/v2210/radxa_cm5_v2210_pinout.xlsx</x:v>
      </x:c>
    </x:row>
    <x:row r="18" ht="30" customHeight="1">
      <x:c r="A18" s="39" t="str">
        <x:v>J1</x:v>
      </x:c>
      <x:c r="B18" s="39" t="n">
        <x:v>97</x:v>
      </x:c>
      <x:c r="C18" s="39" t="str">
        <x:v>TYPEC0_OTG_VBUSDET</x:v>
      </x:c>
      <x:c r="D18" s="39" t="str">
        <x:v>AV10</x:v>
      </x:c>
      <x:c r="E18" s="39" t="str">
        <x:v>TYPEC0_USB20_VBUSDET</x:v>
      </x:c>
      <x:c r="F18" s="39" t="str"/>
      <x:c r="G18" s="39" t="str"/>
      <x:c r="H18" s="39" t="str"/>
      <x:c r="I18" s="39" t="str"/>
      <x:c r="J18" s="39" t="str"/>
      <x:c r="K18" s="39" t="str"/>
      <x:c r="L18" s="39" t="str"/>
      <x:c r="M18" s="39" t="str"/>
      <x:c r="N18" s="39" t="str"/>
      <x:c r="O18" s="39" t="str"/>
      <x:c r="P18" s="39" t="str">
        <x:v>USB-R-097</x:v>
      </x:c>
      <x:c r="Q18" s="39" t="str">
        <x:v>https://dl.radxa.com/cm5/v2210/radxa_cm5_v2210_pinout.xlsx</x:v>
      </x:c>
    </x:row>
    <x:row r="19" ht="30" customHeight="1">
      <x:c r="A19" s="39" t="str">
        <x:v>U13-A</x:v>
      </x:c>
      <x:c r="B19" s="39" t="n">
        <x:v>3</x:v>
      </x:c>
      <x:c r="C19" s="39" t="str">
        <x:v>PHY1_MDI3+</x:v>
      </x:c>
      <x:c r="D19" s="39" t="str">
        <x:v>-</x:v>
      </x:c>
      <x:c r="E19" s="39" t="str"/>
      <x:c r="F19" s="39" t="str"/>
      <x:c r="G19" s="39" t="str"/>
      <x:c r="H19" s="39" t="str"/>
      <x:c r="I19" s="39" t="str"/>
      <x:c r="J19" s="39" t="str"/>
      <x:c r="K19" s="39" t="str"/>
      <x:c r="L19" s="39" t="str"/>
      <x:c r="M19" s="39" t="str"/>
      <x:c r="N19" s="39" t="str"/>
      <x:c r="O19" s="39" t="str"/>
      <x:c r="P19" s="39" t="str">
        <x:v>ETH-003</x:v>
      </x:c>
      <x:c r="Q19" s="39" t="str">
        <x:v>https://dl.radxa.com/cm5/v2210/radxa_cm5_v2210_pinout.xlsx</x:v>
      </x:c>
    </x:row>
    <x:row r="20" ht="30" customHeight="1">
      <x:c r="A20" s="39" t="str">
        <x:v>U13-A</x:v>
      </x:c>
      <x:c r="B20" s="39" t="n">
        <x:v>4</x:v>
      </x:c>
      <x:c r="C20" s="39" t="str">
        <x:v>PHY1_MDI1+</x:v>
      </x:c>
      <x:c r="D20" s="39" t="str">
        <x:v>-</x:v>
      </x:c>
      <x:c r="E20" s="39" t="str"/>
      <x:c r="F20" s="39" t="str"/>
      <x:c r="G20" s="39" t="str"/>
      <x:c r="H20" s="39" t="str"/>
      <x:c r="I20" s="39" t="str"/>
      <x:c r="J20" s="39" t="str"/>
      <x:c r="K20" s="39" t="str"/>
      <x:c r="L20" s="39" t="str"/>
      <x:c r="M20" s="39" t="str"/>
      <x:c r="N20" s="39" t="str"/>
      <x:c r="O20" s="39" t="str"/>
      <x:c r="P20" s="39" t="str">
        <x:v>ETH-004</x:v>
      </x:c>
      <x:c r="Q20" s="39" t="str">
        <x:v>https://dl.radxa.com/cm5/v2210/radxa_cm5_v2210_pinout.xlsx</x:v>
      </x:c>
    </x:row>
    <x:row r="21" ht="30" customHeight="1">
      <x:c r="A21" s="39" t="str">
        <x:v>U13-A</x:v>
      </x:c>
      <x:c r="B21" s="39" t="n">
        <x:v>5</x:v>
      </x:c>
      <x:c r="C21" s="39" t="str">
        <x:v>PHY1_MDI3-</x:v>
      </x:c>
      <x:c r="D21" s="39" t="str">
        <x:v>-</x:v>
      </x:c>
      <x:c r="E21" s="39" t="str"/>
      <x:c r="F21" s="39" t="str"/>
      <x:c r="G21" s="39" t="str"/>
      <x:c r="H21" s="39" t="str"/>
      <x:c r="I21" s="39" t="str"/>
      <x:c r="J21" s="39" t="str"/>
      <x:c r="K21" s="39" t="str"/>
      <x:c r="L21" s="39" t="str"/>
      <x:c r="M21" s="39" t="str"/>
      <x:c r="N21" s="39" t="str"/>
      <x:c r="O21" s="39" t="str"/>
      <x:c r="P21" s="39" t="str">
        <x:v>ETH-005</x:v>
      </x:c>
      <x:c r="Q21" s="39" t="str">
        <x:v>https://dl.radxa.com/cm5/v2210/radxa_cm5_v2210_pinout.xlsx</x:v>
      </x:c>
    </x:row>
    <x:row r="22" ht="30" customHeight="1">
      <x:c r="A22" s="39" t="str">
        <x:v>U13-A</x:v>
      </x:c>
      <x:c r="B22" s="39" t="n">
        <x:v>6</x:v>
      </x:c>
      <x:c r="C22" s="39" t="str">
        <x:v>PHY1_MDI1-</x:v>
      </x:c>
      <x:c r="D22" s="39" t="str">
        <x:v>-</x:v>
      </x:c>
      <x:c r="E22" s="39" t="str"/>
      <x:c r="F22" s="39" t="str"/>
      <x:c r="G22" s="39" t="str"/>
      <x:c r="H22" s="39" t="str"/>
      <x:c r="I22" s="39" t="str"/>
      <x:c r="J22" s="39" t="str"/>
      <x:c r="K22" s="39" t="str"/>
      <x:c r="L22" s="39" t="str"/>
      <x:c r="M22" s="39" t="str"/>
      <x:c r="N22" s="39" t="str"/>
      <x:c r="O22" s="39" t="str"/>
      <x:c r="P22" s="39" t="str">
        <x:v>ETH-006</x:v>
      </x:c>
      <x:c r="Q22" s="39" t="str">
        <x:v>https://dl.radxa.com/cm5/v2210/radxa_cm5_v2210_pinout.xlsx</x:v>
      </x:c>
    </x:row>
    <x:row r="23" ht="30" customHeight="1">
      <x:c r="A23" s="39" t="str">
        <x:v>U13-A</x:v>
      </x:c>
      <x:c r="B23" s="39" t="n">
        <x:v>9</x:v>
      </x:c>
      <x:c r="C23" s="39" t="str">
        <x:v>PHY1_MDI2-</x:v>
      </x:c>
      <x:c r="D23" s="39" t="str">
        <x:v>-</x:v>
      </x:c>
      <x:c r="E23" s="39" t="str"/>
      <x:c r="F23" s="39" t="str"/>
      <x:c r="G23" s="39" t="str"/>
      <x:c r="H23" s="39" t="str"/>
      <x:c r="I23" s="39" t="str"/>
      <x:c r="J23" s="39" t="str"/>
      <x:c r="K23" s="39" t="str"/>
      <x:c r="L23" s="39" t="str"/>
      <x:c r="M23" s="39" t="str"/>
      <x:c r="N23" s="39" t="str"/>
      <x:c r="O23" s="39" t="str"/>
      <x:c r="P23" s="39" t="str">
        <x:v>ETH-009</x:v>
      </x:c>
      <x:c r="Q23" s="39" t="str">
        <x:v>https://dl.radxa.com/cm5/v2210/radxa_cm5_v2210_pinout.xlsx</x:v>
      </x:c>
    </x:row>
    <x:row r="24" ht="30" customHeight="1">
      <x:c r="A24" s="39" t="str">
        <x:v>U13-A</x:v>
      </x:c>
      <x:c r="B24" s="39" t="n">
        <x:v>10</x:v>
      </x:c>
      <x:c r="C24" s="39" t="str">
        <x:v>PHY1_MDI0-</x:v>
      </x:c>
      <x:c r="D24" s="39" t="str">
        <x:v>-</x:v>
      </x:c>
      <x:c r="E24" s="39" t="str"/>
      <x:c r="F24" s="39" t="str"/>
      <x:c r="G24" s="39" t="str"/>
      <x:c r="H24" s="39" t="str"/>
      <x:c r="I24" s="39" t="str"/>
      <x:c r="J24" s="39" t="str"/>
      <x:c r="K24" s="39" t="str"/>
      <x:c r="L24" s="39" t="str"/>
      <x:c r="M24" s="39" t="str"/>
      <x:c r="N24" s="39" t="str"/>
      <x:c r="O24" s="39" t="str"/>
      <x:c r="P24" s="39" t="str">
        <x:v>ETH-010</x:v>
      </x:c>
      <x:c r="Q24" s="39" t="str">
        <x:v>https://dl.radxa.com/cm5/v2210/radxa_cm5_v2210_pinout.xlsx</x:v>
      </x:c>
    </x:row>
    <x:row r="25" ht="30" customHeight="1">
      <x:c r="A25" s="39" t="str">
        <x:v>U13-A</x:v>
      </x:c>
      <x:c r="B25" s="39" t="n">
        <x:v>11</x:v>
      </x:c>
      <x:c r="C25" s="39" t="str">
        <x:v>PHY1_MDI2+</x:v>
      </x:c>
      <x:c r="D25" s="39" t="str">
        <x:v>-</x:v>
      </x:c>
      <x:c r="E25" s="39" t="str"/>
      <x:c r="F25" s="39" t="str"/>
      <x:c r="G25" s="39" t="str"/>
      <x:c r="H25" s="39" t="str"/>
      <x:c r="I25" s="39" t="str"/>
      <x:c r="J25" s="39" t="str"/>
      <x:c r="K25" s="39" t="str"/>
      <x:c r="L25" s="39" t="str"/>
      <x:c r="M25" s="39" t="str"/>
      <x:c r="N25" s="39" t="str"/>
      <x:c r="O25" s="39" t="str"/>
      <x:c r="P25" s="39" t="str">
        <x:v>ETH-011</x:v>
      </x:c>
      <x:c r="Q25" s="39" t="str">
        <x:v>https://dl.radxa.com/cm5/v2210/radxa_cm5_v2210_pinout.xlsx</x:v>
      </x:c>
    </x:row>
    <x:row r="26" ht="30" customHeight="1">
      <x:c r="A26" s="39" t="str">
        <x:v>U13-A</x:v>
      </x:c>
      <x:c r="B26" s="39" t="n">
        <x:v>12</x:v>
      </x:c>
      <x:c r="C26" s="39" t="str">
        <x:v>PHY1_MDI0+</x:v>
      </x:c>
      <x:c r="D26" s="39" t="str">
        <x:v>-</x:v>
      </x:c>
      <x:c r="E26" s="39" t="str"/>
      <x:c r="F26" s="39" t="str"/>
      <x:c r="G26" s="39" t="str"/>
      <x:c r="H26" s="39" t="str"/>
      <x:c r="I26" s="39" t="str"/>
      <x:c r="J26" s="39" t="str"/>
      <x:c r="K26" s="39" t="str"/>
      <x:c r="L26" s="39" t="str"/>
      <x:c r="M26" s="39" t="str"/>
      <x:c r="N26" s="39" t="str"/>
      <x:c r="O26" s="39" t="str"/>
      <x:c r="P26" s="39" t="str">
        <x:v>ETH-012</x:v>
      </x:c>
      <x:c r="Q26" s="39" t="str">
        <x:v>https://dl.radxa.com/cm5/v2210/radxa_cm5_v2210_pinout.xlsx</x:v>
      </x:c>
    </x:row>
    <x:row r="27" ht="30" customHeight="1">
      <x:c r="A27" s="39" t="str">
        <x:v>U13-A</x:v>
      </x:c>
      <x:c r="B27" s="39" t="n">
        <x:v>15</x:v>
      </x:c>
      <x:c r="C27" s="39" t="str">
        <x:v>PHY1_LED2_Y</x:v>
      </x:c>
      <x:c r="D27" s="39" t="str">
        <x:v>-</x:v>
      </x:c>
      <x:c r="E27" s="39" t="str"/>
      <x:c r="F27" s="39" t="str"/>
      <x:c r="G27" s="39" t="str"/>
      <x:c r="H27" s="39" t="str"/>
      <x:c r="I27" s="39" t="str"/>
      <x:c r="J27" s="39" t="str"/>
      <x:c r="K27" s="39" t="str"/>
      <x:c r="L27" s="39" t="str"/>
      <x:c r="M27" s="39" t="str"/>
      <x:c r="N27" s="39" t="str"/>
      <x:c r="O27" s="39" t="str"/>
      <x:c r="P27" s="39" t="str">
        <x:v>ETH-15</x:v>
      </x:c>
      <x:c r="Q27" s="39" t="str">
        <x:v>https://dl.radxa.com/cm5/v2210/radxa_cm5_v2210_pinout.xlsx</x:v>
      </x:c>
    </x:row>
    <x:row r="28" ht="30" customHeight="1">
      <x:c r="A28" s="39" t="str">
        <x:v>U13-A</x:v>
      </x:c>
      <x:c r="B28" s="39" t="n">
        <x:v>17</x:v>
      </x:c>
      <x:c r="C28" s="39" t="str">
        <x:v>PHY1_LED1_G</x:v>
      </x:c>
      <x:c r="D28" s="39" t="str">
        <x:v>-</x:v>
      </x:c>
      <x:c r="E28" s="39" t="str"/>
      <x:c r="F28" s="39" t="str"/>
      <x:c r="G28" s="39" t="str"/>
      <x:c r="H28" s="39" t="str"/>
      <x:c r="I28" s="39" t="str"/>
      <x:c r="J28" s="39" t="str"/>
      <x:c r="K28" s="39" t="str"/>
      <x:c r="L28" s="39" t="str"/>
      <x:c r="M28" s="39" t="str"/>
      <x:c r="N28" s="39" t="str"/>
      <x:c r="O28" s="39" t="str"/>
      <x:c r="P28" s="39" t="str">
        <x:v>ETH-17</x:v>
      </x:c>
      <x:c r="Q28" s="39" t="str">
        <x:v>https://dl.radxa.com/cm5/v2210/radxa_cm5_v2210_pinout.xlsx</x:v>
      </x:c>
    </x:row>
    <x:row r="29" ht="30" customHeight="1">
      <x:c r="A29" s="39" t="str">
        <x:v>U13-A</x:v>
      </x:c>
      <x:c r="B29" s="39" t="n">
        <x:v>19</x:v>
      </x:c>
      <x:c r="C29" s="39" t="str">
        <x:v>PHY1_LED0_Y1</x:v>
      </x:c>
      <x:c r="D29" s="39" t="str">
        <x:v>-</x:v>
      </x:c>
      <x:c r="E29" s="39" t="str"/>
      <x:c r="F29" s="39" t="str"/>
      <x:c r="G29" s="39" t="str"/>
      <x:c r="H29" s="39" t="str"/>
      <x:c r="I29" s="39" t="str"/>
      <x:c r="J29" s="39" t="str"/>
      <x:c r="K29" s="39" t="str"/>
      <x:c r="L29" s="39" t="str"/>
      <x:c r="M29" s="39" t="str"/>
      <x:c r="N29" s="39" t="str"/>
      <x:c r="O29" s="39" t="str"/>
      <x:c r="P29" s="39" t="str">
        <x:v>ETH-19</x:v>
      </x:c>
      <x:c r="Q29" s="39" t="str">
        <x:v>https://dl.radxa.com/cm5/v2210/radxa_cm5_v2210_pinout.xlsx</x:v>
      </x:c>
    </x:row>
    <x:row r="30" ht="30" customHeight="1">
      <x:c r="A30" s="39" t="str">
        <x:v>U13-A</x:v>
      </x:c>
      <x:c r="B30" s="39" t="n">
        <x:v>20</x:v>
      </x:c>
      <x:c r="C30" s="39" t="str">
        <x:v>HP_INT</x:v>
      </x:c>
      <x:c r="D30" s="39" t="str">
        <x:v>W38</x:v>
      </x:c>
      <x:c r="E30" s="39" t="str">
        <x:v>REFCLK_OUT</x:v>
      </x:c>
      <x:c r="F30" s="39" t="str">
        <x:v>GPIO0_A0_d</x:v>
      </x:c>
      <x:c r="G30" s="39" t="str"/>
      <x:c r="H30" s="39" t="str"/>
      <x:c r="I30" s="39" t="str"/>
      <x:c r="J30" s="39" t="str"/>
      <x:c r="K30" s="39" t="str"/>
      <x:c r="L30" s="39" t="str"/>
      <x:c r="M30" s="39" t="str"/>
      <x:c r="N30" s="39" t="str"/>
      <x:c r="O30" s="39" t="str"/>
      <x:c r="P30" s="39" t="str">
        <x:v>AUD-020</x:v>
      </x:c>
      <x:c r="Q30" s="39" t="str">
        <x:v>https://dl.radxa.com/cm5/v2210/radxa_cm5_v2210_pinout.xlsx</x:v>
      </x:c>
    </x:row>
    <x:row r="31" ht="30" customHeight="1">
      <x:c r="A31" s="39" t="str">
        <x:v>U13-A</x:v>
      </x:c>
      <x:c r="B31" s="39" t="n">
        <x:v>24</x:v>
      </x:c>
      <x:c r="C31" s="39" t="str">
        <x:v>PCIE20X1_2_WAKEN_M0</x:v>
      </x:c>
      <x:c r="D31" s="39" t="str">
        <x:v>AW31</x:v>
      </x:c>
      <x:c r="E31" s="39" t="str">
        <x:v>CIF_D12</x:v>
      </x:c>
      <x:c r="F31" s="39" t="str">
        <x:v>PCIE20X1_2_WAKEN_M0</x:v>
      </x:c>
      <x:c r="G31" s="39" t="str">
        <x:v>HDMI_TX0_SDA_M2</x:v>
      </x:c>
      <x:c r="H31" s="39" t="str">
        <x:v>I2C5_SDA_M0</x:v>
      </x:c>
      <x:c r="I31" s="39" t="str">
        <x:v>UART4_RX_M1</x:v>
      </x:c>
      <x:c r="J31" s="39" t="str">
        <x:v>PWM8_M2</x:v>
      </x:c>
      <x:c r="K31" s="39" t="str">
        <x:v>SPI3_CLK_M3</x:v>
      </x:c>
      <x:c r="L31" s="39" t="str">
        <x:v>GPIO3_D0_u</x:v>
      </x:c>
      <x:c r="M31" s="39" t="str"/>
      <x:c r="N31" s="39" t="str"/>
      <x:c r="O31" s="39" t="str"/>
      <x:c r="P31" s="39" t="str">
        <x:v>PCIE-024</x:v>
      </x:c>
      <x:c r="Q31" s="39" t="str">
        <x:v>https://dl.radxa.com/cm5/v2210/radxa_cm5_v2210_pinout.xlsx</x:v>
      </x:c>
    </x:row>
    <x:row r="32" ht="30" customHeight="1">
      <x:c r="A32" s="39" t="str">
        <x:v>U13-A</x:v>
      </x:c>
      <x:c r="B32" s="39" t="n">
        <x:v>28</x:v>
      </x:c>
      <x:c r="C32" s="39" t="str">
        <x:v>SPIO_MOSI_M1</x:v>
      </x:c>
      <x:c r="D32" s="39" t="str">
        <x:v>AW18</x:v>
      </x:c>
      <x:c r="E32" s="39" t="str">
        <x:v>CIF_D1</x:v>
      </x:c>
      <x:c r="F32" s="39" t="str">
        <x:v>BT1120_D1</x:v>
      </x:c>
      <x:c r="G32" s="39" t="str">
        <x:v>I2S1_SCLK_TX_M0</x:v>
      </x:c>
      <x:c r="H32" s="39" t="str">
        <x:v>PCIE20X1_1_WAKEN_M1</x:v>
      </x:c>
      <x:c r="I32" s="39" t="str">
        <x:v>UART9_CTSN_M1</x:v>
      </x:c>
      <x:c r="J32" s="39" t="str">
        <x:v>SPI0_MOSI_M1</x:v>
      </x:c>
      <x:c r="K32" s="39" t="str">
        <x:v>GPIO4_A1_d</x:v>
      </x:c>
      <x:c r="L32" s="39" t="str"/>
      <x:c r="M32" s="39" t="str"/>
      <x:c r="N32" s="39" t="str"/>
      <x:c r="O32" s="39" t="str"/>
      <x:c r="P32" s="39" t="str">
        <x:v>HS-028</x:v>
      </x:c>
      <x:c r="Q32" s="39" t="str">
        <x:v>https://dl.radxa.com/cm5/v2210/radxa_cm5_v2210_pinout.xlsx</x:v>
      </x:c>
    </x:row>
    <x:row r="33" ht="30" customHeight="1">
      <x:c r="A33" s="39" t="str">
        <x:v>U13-A</x:v>
      </x:c>
      <x:c r="B33" s="39" t="n">
        <x:v>30</x:v>
      </x:c>
      <x:c r="C33" s="39" t="str">
        <x:v>SPIO_CLK_M1</x:v>
      </x:c>
      <x:c r="D33" s="39" t="str">
        <x:v>AV26</x:v>
      </x:c>
      <x:c r="E33" s="39" t="str">
        <x:v>CIF_D2</x:v>
      </x:c>
      <x:c r="F33" s="39" t="str">
        <x:v>BT1120_D2</x:v>
      </x:c>
      <x:c r="G33" s="39" t="str">
        <x:v>I2S1_LRCK_TX_M0</x:v>
      </x:c>
      <x:c r="H33" s="39" t="str">
        <x:v>PCIE20X1_1_PERSTN_M1</x:v>
      </x:c>
      <x:c r="I33" s="39" t="str">
        <x:v>SPI0_CLK_M1</x:v>
      </x:c>
      <x:c r="J33" s="39" t="str">
        <x:v>GPIO4_A2_d</x:v>
      </x:c>
      <x:c r="K33" s="39" t="str"/>
      <x:c r="L33" s="39" t="str"/>
      <x:c r="M33" s="39" t="str"/>
      <x:c r="N33" s="39" t="str"/>
      <x:c r="O33" s="39" t="str"/>
      <x:c r="P33" s="39" t="str">
        <x:v>HS-030</x:v>
      </x:c>
      <x:c r="Q33" s="39" t="str">
        <x:v>https://dl.radxa.com/cm5/v2210/radxa_cm5_v2210_pinout.xlsx</x:v>
      </x:c>
    </x:row>
    <x:row r="34" ht="30" customHeight="1">
      <x:c r="A34" s="39" t="str">
        <x:v>U13-A</x:v>
      </x:c>
      <x:c r="B34" s="39" t="n">
        <x:v>31</x:v>
      </x:c>
      <x:c r="C34" s="39" t="str">
        <x:v>SPIO_CS0M1</x:v>
      </x:c>
      <x:c r="D34" s="39" t="str">
        <x:v>AT15</x:v>
      </x:c>
      <x:c r="E34" s="39" t="str">
        <x:v>CIF_HREF</x:v>
      </x:c>
      <x:c r="F34" s="39" t="str">
        <x:v>BT1120_D8</x:v>
      </x:c>
      <x:c r="G34" s="39" t="str">
        <x:v>I2S1_SDO1_M0</x:v>
      </x:c>
      <x:c r="H34" s="39" t="str">
        <x:v>PCIE20X1_1_BUTTON_RSTN</x:v>
      </x:c>
      <x:c r="I34" s="39" t="str">
        <x:v>I2C7_SCL_M3</x:v>
      </x:c>
      <x:c r="J34" s="39" t="str">
        <x:v>UART8_RTSN_M0</x:v>
      </x:c>
      <x:c r="K34" s="39" t="str">
        <x:v>PWM14_M1</x:v>
      </x:c>
      <x:c r="L34" s="39" t="str">
        <x:v>SPI0_CS0_M1</x:v>
      </x:c>
      <x:c r="M34" s="39" t="str">
        <x:v>CAN1_RX_M1</x:v>
      </x:c>
      <x:c r="N34" s="39" t="str">
        <x:v>GPIO4_B2_u</x:v>
      </x:c>
      <x:c r="O34" s="39" t="str"/>
      <x:c r="P34" s="39" t="str">
        <x:v>HS-031</x:v>
      </x:c>
      <x:c r="Q34" s="39" t="str">
        <x:v>https://dl.radxa.com/cm5/v2210/radxa_cm5_v2210_pinout.xlsx</x:v>
      </x:c>
    </x:row>
    <x:row r="35" ht="30" customHeight="1">
      <x:c r="A35" s="39" t="str">
        <x:v>U13-A</x:v>
      </x:c>
      <x:c r="B35" s="39" t="n">
        <x:v>34</x:v>
      </x:c>
      <x:c r="C35" s="39" t="str">
        <x:v>I2S0_SDO0</x:v>
      </x:c>
      <x:c r="D35" s="39" t="str">
        <x:v>P41</x:v>
      </x:c>
      <x:c r="E35" s="39" t="str">
        <x:v>I2S0_SDO0</x:v>
      </x:c>
      <x:c r="F35" s="39" t="str">
        <x:v>I2C4_SCL_M4</x:v>
      </x:c>
      <x:c r="G35" s="39" t="str">
        <x:v>UART4_CTSN</x:v>
      </x:c>
      <x:c r="H35" s="39" t="str">
        <x:v>GPIO1_C7_d</x:v>
      </x:c>
      <x:c r="I35" s="39" t="str"/>
      <x:c r="J35" s="39" t="str"/>
      <x:c r="K35" s="39" t="str"/>
      <x:c r="L35" s="39" t="str"/>
      <x:c r="M35" s="39" t="str"/>
      <x:c r="N35" s="39" t="str"/>
      <x:c r="O35" s="39" t="str"/>
      <x:c r="P35" s="39" t="str">
        <x:v>AUD-034</x:v>
      </x:c>
      <x:c r="Q35" s="39" t="str">
        <x:v>https://dl.radxa.com/cm5/v2210/radxa_cm5_v2210_pinout.xlsx</x:v>
      </x:c>
    </x:row>
    <x:row r="36" ht="30" customHeight="1">
      <x:c r="A36" s="39" t="str">
        <x:v>U13-A</x:v>
      </x:c>
      <x:c r="B36" s="39" t="n">
        <x:v>46</x:v>
      </x:c>
      <x:c r="C36" s="39" t="str">
        <x:v>I2S0_SCLK_TX</x:v>
      </x:c>
      <x:c r="D36" s="39" t="str">
        <x:v>M42</x:v>
      </x:c>
      <x:c r="E36" s="39" t="str">
        <x:v>I2S0_SCLK_TX</x:v>
      </x:c>
      <x:c r="F36" s="39" t="str">
        <x:v>I2C6_SCL_M1</x:v>
      </x:c>
      <x:c r="G36" s="39" t="str">
        <x:v>UART3_CTSN</x:v>
      </x:c>
      <x:c r="H36" s="39" t="str">
        <x:v>PWM7_IR_M2</x:v>
      </x:c>
      <x:c r="I36" s="39" t="str">
        <x:v>SPI4_CS0_M0</x:v>
      </x:c>
      <x:c r="J36" s="39" t="str">
        <x:v>GPIO1_C3_d</x:v>
      </x:c>
      <x:c r="K36" s="39" t="str"/>
      <x:c r="L36" s="39" t="str"/>
      <x:c r="M36" s="39" t="str"/>
      <x:c r="N36" s="39" t="str"/>
      <x:c r="O36" s="39" t="str"/>
      <x:c r="P36" s="39" t="str">
        <x:v>AUD-046</x:v>
      </x:c>
      <x:c r="Q36" s="39" t="str">
        <x:v>https://dl.radxa.com/cm5/v2210/radxa_cm5_v2210_pinout.xlsx</x:v>
      </x:c>
    </x:row>
    <x:row r="37" ht="30" customHeight="1">
      <x:c r="A37" s="39" t="str">
        <x:v>U13-A</x:v>
      </x:c>
      <x:c r="B37" s="39" t="n">
        <x:v>48</x:v>
      </x:c>
      <x:c r="C37" s="39" t="str">
        <x:v>I2S0_LRCK_TX</x:v>
      </x:c>
      <x:c r="D37" s="39" t="str">
        <x:v>P39</x:v>
      </x:c>
      <x:c r="E37" s="39" t="str">
        <x:v>I2S0_LRCK_TX</x:v>
      </x:c>
      <x:c r="F37" s="39" t="str">
        <x:v>I2C2_SCL_M3</x:v>
      </x:c>
      <x:c r="G37" s="39" t="str">
        <x:v>UART4_RTSN</x:v>
      </x:c>
      <x:c r="H37" s="39" t="str">
        <x:v>GPIO1_C5_d</x:v>
      </x:c>
      <x:c r="I37" s="39" t="str"/>
      <x:c r="J37" s="39" t="str"/>
      <x:c r="K37" s="39" t="str"/>
      <x:c r="L37" s="39" t="str"/>
      <x:c r="M37" s="39" t="str"/>
      <x:c r="N37" s="39" t="str"/>
      <x:c r="O37" s="39" t="str"/>
      <x:c r="P37" s="39" t="str">
        <x:v>AUD-048</x:v>
      </x:c>
      <x:c r="Q37" s="39" t="str">
        <x:v>https://dl.radxa.com/cm5/v2210/radxa_cm5_v2210_pinout.xlsx</x:v>
      </x:c>
    </x:row>
    <x:row r="38" ht="30" customHeight="1">
      <x:c r="A38" s="39" t="str">
        <x:v>U13-A</x:v>
      </x:c>
      <x:c r="B38" s="39" t="n">
        <x:v>50</x:v>
      </x:c>
      <x:c r="C38" s="39" t="str">
        <x:v>I2S0_MCLK</x:v>
      </x:c>
      <x:c r="D38" s="39" t="str">
        <x:v>U36</x:v>
      </x:c>
      <x:c r="E38" s="39" t="str">
        <x:v>I2S0_MCLK</x:v>
      </x:c>
      <x:c r="F38" s="39" t="str">
        <x:v>I2C6_SDA_M1</x:v>
      </x:c>
      <x:c r="G38" s="39" t="str">
        <x:v>UART3_RTSN</x:v>
      </x:c>
      <x:c r="H38" s="39" t="str">
        <x:v>PWM3_IR_M2</x:v>
      </x:c>
      <x:c r="I38" s="39" t="str">
        <x:v>SPI4_CLK_M0</x:v>
      </x:c>
      <x:c r="J38" s="39" t="str">
        <x:v>GPIO1_C2_d</x:v>
      </x:c>
      <x:c r="K38" s="39" t="str"/>
      <x:c r="L38" s="39" t="str"/>
      <x:c r="M38" s="39" t="str"/>
      <x:c r="N38" s="39" t="str"/>
      <x:c r="O38" s="39" t="str"/>
      <x:c r="P38" s="39" t="str">
        <x:v>AUD-050</x:v>
      </x:c>
      <x:c r="Q38" s="39" t="str">
        <x:v>https://dl.radxa.com/cm5/v2210/radxa_cm5_v2210_pinout.xlsx</x:v>
      </x:c>
    </x:row>
    <x:row r="39" ht="30" customHeight="1">
      <x:c r="A39" s="39" t="str">
        <x:v>U13-A</x:v>
      </x:c>
      <x:c r="B39" s="39" t="n">
        <x:v>51</x:v>
      </x:c>
      <x:c r="C39" s="39" t="str">
        <x:v>UART2_RX_M0</x:v>
      </x:c>
      <x:c r="D39" s="39" t="str">
        <x:v>AH40</x:v>
      </x:c>
      <x:c r="E39" s="39" t="str">
        <x:v>I2S1_SCLK_TX_M1</x:v>
      </x:c>
      <x:c r="F39" s="39" t="str">
        <x:v>JTAG_TMS_M2</x:v>
      </x:c>
      <x:c r="G39" s="39" t="str">
        <x:v>I2C1_SDA_M0</x:v>
      </x:c>
      <x:c r="H39" s="39" t="str">
        <x:v>UART2_RX_M0</x:v>
      </x:c>
      <x:c r="I39" s="39" t="str">
        <x:v>PCIE20X1_1_WAKEN_M0</x:v>
      </x:c>
      <x:c r="J39" s="39" t="str">
        <x:v>GPIO0_B6_d</x:v>
      </x:c>
      <x:c r="K39" s="39" t="str"/>
      <x:c r="L39" s="39" t="str"/>
      <x:c r="M39" s="39" t="str"/>
      <x:c r="N39" s="39" t="str"/>
      <x:c r="O39" s="39" t="str"/>
      <x:c r="P39" s="39" t="str">
        <x:v>DBG-051</x:v>
      </x:c>
      <x:c r="Q39" s="39" t="str">
        <x:v>https://dl.radxa.com/cm5/v2210/radxa_cm5_v2210_pinout.xlsx</x:v>
      </x:c>
    </x:row>
    <x:row r="40" ht="30" customHeight="1">
      <x:c r="A40" s="39" t="str">
        <x:v>U13-A</x:v>
      </x:c>
      <x:c r="B40" s="39" t="n">
        <x:v>54</x:v>
      </x:c>
      <x:c r="C40" s="39" t="str">
        <x:v>I2S0_SDI0</x:v>
      </x:c>
      <x:c r="D40" s="39" t="str">
        <x:v>N42</x:v>
      </x:c>
      <x:c r="E40" s="39" t="str">
        <x:v>I2S0_SDI0</x:v>
      </x:c>
      <x:c r="F40" s="39" t="str">
        <x:v>GPIO1_D4_d</x:v>
      </x:c>
      <x:c r="G40" s="39" t="str"/>
      <x:c r="H40" s="39" t="str"/>
      <x:c r="I40" s="39" t="str"/>
      <x:c r="J40" s="39" t="str"/>
      <x:c r="K40" s="39" t="str"/>
      <x:c r="L40" s="39" t="str"/>
      <x:c r="M40" s="39" t="str"/>
      <x:c r="N40" s="39" t="str"/>
      <x:c r="O40" s="39" t="str"/>
      <x:c r="P40" s="39" t="str">
        <x:v>AUD-054</x:v>
      </x:c>
      <x:c r="Q40" s="39" t="str">
        <x:v>https://dl.radxa.com/cm5/v2210/radxa_cm5_v2210_pinout.xlsx</x:v>
      </x:c>
    </x:row>
    <x:row r="41" ht="30" customHeight="1">
      <x:c r="A41" s="39" t="str">
        <x:v>U13-A</x:v>
      </x:c>
      <x:c r="B41" s="39" t="n">
        <x:v>55</x:v>
      </x:c>
      <x:c r="C41" s="39" t="str">
        <x:v>UART2_TX_M0</x:v>
      </x:c>
      <x:c r="D41" s="39" t="str">
        <x:v>AH39</x:v>
      </x:c>
      <x:c r="E41" s="39" t="str">
        <x:v>I2S1_MCLK_M1</x:v>
      </x:c>
      <x:c r="F41" s="39" t="str">
        <x:v>JTAG_TCK_M2</x:v>
      </x:c>
      <x:c r="G41" s="39" t="str">
        <x:v>I2C1_SCL_M0</x:v>
      </x:c>
      <x:c r="H41" s="39" t="str">
        <x:v>UART2_TX_M0</x:v>
      </x:c>
      <x:c r="I41" s="39" t="str">
        <x:v>PCIE20X1_1_CLKREQN_M0</x:v>
      </x:c>
      <x:c r="J41" s="39" t="str">
        <x:v>GPIO0_B5_d</x:v>
      </x:c>
      <x:c r="K41" s="39" t="str"/>
      <x:c r="L41" s="39" t="str"/>
      <x:c r="M41" s="39" t="str"/>
      <x:c r="N41" s="39" t="str"/>
      <x:c r="O41" s="39" t="str"/>
      <x:c r="P41" s="39" t="str">
        <x:v>DBG-055</x:v>
      </x:c>
      <x:c r="Q41" s="39" t="str">
        <x:v>https://dl.radxa.com/cm5/v2210/radxa_cm5_v2210_pinout.xlsx</x:v>
      </x:c>
    </x:row>
    <x:row r="42" ht="30" customHeight="1">
      <x:c r="A42" s="39" t="str">
        <x:v>U13-A</x:v>
      </x:c>
      <x:c r="B42" s="39" t="n">
        <x:v>77</x:v>
      </x:c>
      <x:c r="C42" s="39" t="str">
        <x:v>VCC_SYSIN</x:v>
      </x:c>
      <x:c r="D42" s="39" t="str">
        <x:v>-</x:v>
      </x:c>
      <x:c r="E42" s="39" t="str"/>
      <x:c r="F42" s="39" t="str"/>
      <x:c r="G42" s="39" t="str"/>
      <x:c r="H42" s="39" t="str"/>
      <x:c r="I42" s="39" t="str"/>
      <x:c r="J42" s="39" t="str"/>
      <x:c r="K42" s="39" t="str"/>
      <x:c r="L42" s="39" t="str"/>
      <x:c r="M42" s="39" t="str"/>
      <x:c r="N42" s="39" t="str"/>
      <x:c r="O42" s="39" t="str"/>
      <x:c r="P42" s="39" t="str">
        <x:v>PWR-77</x:v>
      </x:c>
      <x:c r="Q42" s="39" t="str">
        <x:v>https://dl.radxa.com/cm5/v2210/radxa_cm5_v2210_pinout.xlsx</x:v>
      </x:c>
    </x:row>
    <x:row r="43" ht="30" customHeight="1">
      <x:c r="A43" s="39" t="str">
        <x:v>U13-A</x:v>
      </x:c>
      <x:c r="B43" s="39" t="n">
        <x:v>78</x:v>
      </x:c>
      <x:c r="C43" s="39" t="str">
        <x:v>GPIO_VREF</x:v>
      </x:c>
      <x:c r="D43" s="39" t="str">
        <x:v>-</x:v>
      </x:c>
      <x:c r="E43" s="39" t="str"/>
      <x:c r="F43" s="39" t="str"/>
      <x:c r="G43" s="39" t="str"/>
      <x:c r="H43" s="39" t="str"/>
      <x:c r="I43" s="39" t="str"/>
      <x:c r="J43" s="39" t="str"/>
      <x:c r="K43" s="39" t="str"/>
      <x:c r="L43" s="39" t="str"/>
      <x:c r="M43" s="39" t="str"/>
      <x:c r="N43" s="39" t="str"/>
      <x:c r="O43" s="39" t="str"/>
      <x:c r="P43" s="39" t="str">
        <x:v>PWR-078</x:v>
      </x:c>
      <x:c r="Q43" s="39" t="str">
        <x:v>https://dl.radxa.com/cm5/v2210/radxa_cm5_v2210_pinout.xlsx</x:v>
      </x:c>
    </x:row>
    <x:row r="44" ht="30" customHeight="1">
      <x:c r="A44" s="39" t="str">
        <x:v>U13-A</x:v>
      </x:c>
      <x:c r="B44" s="39" t="n">
        <x:v>79</x:v>
      </x:c>
      <x:c r="C44" s="39" t="str">
        <x:v>VCC_SYSIN</x:v>
      </x:c>
      <x:c r="D44" s="39" t="str">
        <x:v>-</x:v>
      </x:c>
      <x:c r="E44" s="39" t="str"/>
      <x:c r="F44" s="39" t="str"/>
      <x:c r="G44" s="39" t="str"/>
      <x:c r="H44" s="39" t="str"/>
      <x:c r="I44" s="39" t="str"/>
      <x:c r="J44" s="39" t="str"/>
      <x:c r="K44" s="39" t="str"/>
      <x:c r="L44" s="39" t="str"/>
      <x:c r="M44" s="39" t="str"/>
      <x:c r="N44" s="39" t="str"/>
      <x:c r="O44" s="39" t="str">
        <x:v>default is 4V</x:v>
      </x:c>
      <x:c r="P44" s="39" t="str">
        <x:v>PWR-79</x:v>
      </x:c>
      <x:c r="Q44" s="39" t="str">
        <x:v>https://dl.radxa.com/cm5/v2210/radxa_cm5_v2210_pinout.xlsx</x:v>
      </x:c>
    </x:row>
    <x:row r="45" ht="30" customHeight="1">
      <x:c r="A45" s="39" t="str">
        <x:v>U13-A</x:v>
      </x:c>
      <x:c r="B45" s="39" t="n">
        <x:v>80</x:v>
      </x:c>
      <x:c r="C45" s="39" t="str">
        <x:v>I2C7_SCL_M2</x:v>
      </x:c>
      <x:c r="D45" s="39" t="str">
        <x:v>AY30</x:v>
      </x:c>
      <x:c r="E45" s="39" t="str">
        <x:v>CIF_D14</x:v>
      </x:c>
      <x:c r="F45" s="39" t="str">
        <x:v>I2C7_SCL_M2</x:v>
      </x:c>
      <x:c r="G45" s="39" t="str">
        <x:v>UART9_RTSN_M2</x:v>
      </x:c>
      <x:c r="H45" s="39" t="str">
        <x:v>SPI0_MOSI_M3</x:v>
      </x:c>
      <x:c r="I45" s="39" t="str">
        <x:v>GPIO3_D2_d</x:v>
      </x:c>
      <x:c r="J45" s="39" t="str"/>
      <x:c r="K45" s="39" t="str"/>
      <x:c r="L45" s="39" t="str"/>
      <x:c r="M45" s="39" t="str"/>
      <x:c r="N45" s="39" t="str"/>
      <x:c r="O45" s="39" t="str"/>
      <x:c r="P45" s="39" t="str">
        <x:v>I2C7-080</x:v>
      </x:c>
      <x:c r="Q45" s="39" t="str">
        <x:v>https://dl.radxa.com/cm5/v2210/radxa_cm5_v2210_pinout.xlsx</x:v>
      </x:c>
    </x:row>
    <x:row r="46" ht="30" customHeight="1">
      <x:c r="A46" s="39" t="str">
        <x:v>U13-A</x:v>
      </x:c>
      <x:c r="B46" s="39" t="n">
        <x:v>81</x:v>
      </x:c>
      <x:c r="C46" s="39" t="str">
        <x:v>VCC_SYSIN</x:v>
      </x:c>
      <x:c r="D46" s="39" t="str">
        <x:v>-</x:v>
      </x:c>
      <x:c r="E46" s="39" t="str"/>
      <x:c r="F46" s="39" t="str"/>
      <x:c r="G46" s="39" t="str"/>
      <x:c r="H46" s="39" t="str"/>
      <x:c r="I46" s="39" t="str"/>
      <x:c r="J46" s="39" t="str"/>
      <x:c r="K46" s="39" t="str"/>
      <x:c r="L46" s="39" t="str"/>
      <x:c r="M46" s="39" t="str"/>
      <x:c r="N46" s="39" t="str"/>
      <x:c r="O46" s="39" t="str">
        <x:v>default is 4V</x:v>
      </x:c>
      <x:c r="P46" s="39" t="str">
        <x:v>PWR-81</x:v>
      </x:c>
      <x:c r="Q46" s="39" t="str">
        <x:v>https://dl.radxa.com/cm5/v2210/radxa_cm5_v2210_pinout.xlsx</x:v>
      </x:c>
    </x:row>
    <x:row r="47" ht="30" customHeight="1">
      <x:c r="A47" s="39" t="str">
        <x:v>U13-A</x:v>
      </x:c>
      <x:c r="B47" s="39" t="n">
        <x:v>82</x:v>
      </x:c>
      <x:c r="C47" s="39" t="str">
        <x:v>I2C7_SDA_M2</x:v>
      </x:c>
      <x:c r="D47" s="39" t="str">
        <x:v>AY31</x:v>
      </x:c>
      <x:c r="E47" s="39" t="str">
        <x:v>CIF_D15</x:v>
      </x:c>
      <x:c r="F47" s="39" t="str">
        <x:v>I2C7_SDA_M2</x:v>
      </x:c>
      <x:c r="G47" s="39" t="str">
        <x:v>UART9_CTSN_M2</x:v>
      </x:c>
      <x:c r="H47" s="39" t="str">
        <x:v>PWM10_M2</x:v>
      </x:c>
      <x:c r="I47" s="39" t="str">
        <x:v>SPI0_CLK_M3</x:v>
      </x:c>
      <x:c r="J47" s="39" t="str">
        <x:v>GPIO3_D3_d</x:v>
      </x:c>
      <x:c r="K47" s="39" t="str"/>
      <x:c r="L47" s="39" t="str"/>
      <x:c r="M47" s="39" t="str"/>
      <x:c r="N47" s="39" t="str"/>
      <x:c r="O47" s="39" t="str"/>
      <x:c r="P47" s="39" t="str">
        <x:v>I2C7-082</x:v>
      </x:c>
      <x:c r="Q47" s="39" t="str">
        <x:v>https://dl.radxa.com/cm5/v2210/radxa_cm5_v2210_pinout.xlsx</x:v>
      </x:c>
    </x:row>
    <x:row r="48" ht="30" customHeight="1">
      <x:c r="A48" s="39" t="str">
        <x:v>U13-A</x:v>
      </x:c>
      <x:c r="B48" s="39" t="n">
        <x:v>83</x:v>
      </x:c>
      <x:c r="C48" s="39" t="str">
        <x:v>VCC_SYSIN</x:v>
      </x:c>
      <x:c r="D48" s="39" t="str">
        <x:v>-</x:v>
      </x:c>
      <x:c r="E48" s="39" t="str"/>
      <x:c r="F48" s="39" t="str"/>
      <x:c r="G48" s="39" t="str"/>
      <x:c r="H48" s="39" t="str"/>
      <x:c r="I48" s="39" t="str"/>
      <x:c r="J48" s="39" t="str"/>
      <x:c r="K48" s="39" t="str"/>
      <x:c r="L48" s="39" t="str"/>
      <x:c r="M48" s="39" t="str"/>
      <x:c r="N48" s="39" t="str"/>
      <x:c r="O48" s="39" t="str">
        <x:v>default is 4V</x:v>
      </x:c>
      <x:c r="P48" s="39" t="str">
        <x:v>PWR-83</x:v>
      </x:c>
      <x:c r="Q48" s="39" t="str">
        <x:v>https://dl.radxa.com/cm5/v2210/radxa_cm5_v2210_pinout.xlsx</x:v>
      </x:c>
    </x:row>
    <x:row r="49" ht="30" customHeight="1">
      <x:c r="A49" s="39" t="str">
        <x:v>U13-A</x:v>
      </x:c>
      <x:c r="B49" s="39" t="n">
        <x:v>85</x:v>
      </x:c>
      <x:c r="C49" s="39" t="str">
        <x:v>VCC_SYSIN</x:v>
      </x:c>
      <x:c r="D49" s="39" t="str">
        <x:v>-</x:v>
      </x:c>
      <x:c r="E49" s="39" t="str"/>
      <x:c r="F49" s="39" t="str"/>
      <x:c r="G49" s="39" t="str"/>
      <x:c r="H49" s="39" t="str"/>
      <x:c r="I49" s="39" t="str"/>
      <x:c r="J49" s="39" t="str"/>
      <x:c r="K49" s="39" t="str"/>
      <x:c r="L49" s="39" t="str"/>
      <x:c r="M49" s="39" t="str"/>
      <x:c r="N49" s="39" t="str"/>
      <x:c r="O49" s="39" t="str">
        <x:v>default is 4V</x:v>
      </x:c>
      <x:c r="P49" s="39" t="str">
        <x:v>PWR-85</x:v>
      </x:c>
      <x:c r="Q49" s="39" t="str">
        <x:v>https://dl.radxa.com/cm5/v2210/radxa_cm5_v2210_pinout.xlsx</x:v>
      </x:c>
    </x:row>
    <x:row r="50" ht="30" customHeight="1">
      <x:c r="A50" s="39" t="str">
        <x:v>U13-A</x:v>
      </x:c>
      <x:c r="B50" s="39" t="n">
        <x:v>87</x:v>
      </x:c>
      <x:c r="C50" s="39" t="str">
        <x:v>VCC_SYSIN</x:v>
      </x:c>
      <x:c r="D50" s="39" t="str">
        <x:v>-</x:v>
      </x:c>
      <x:c r="E50" s="39" t="str"/>
      <x:c r="F50" s="39" t="str"/>
      <x:c r="G50" s="39" t="str"/>
      <x:c r="H50" s="39" t="str"/>
      <x:c r="I50" s="39" t="str"/>
      <x:c r="J50" s="39" t="str"/>
      <x:c r="K50" s="39" t="str"/>
      <x:c r="L50" s="39" t="str"/>
      <x:c r="M50" s="39" t="str"/>
      <x:c r="N50" s="39" t="str"/>
      <x:c r="O50" s="39" t="str">
        <x:v>default is 4V</x:v>
      </x:c>
      <x:c r="P50" s="39" t="str">
        <x:v>PWR-87</x:v>
      </x:c>
      <x:c r="Q50" s="39" t="str">
        <x:v>https://dl.radxa.com/cm5/v2210/radxa_cm5_v2210_pinout.xlsx</x:v>
      </x:c>
    </x:row>
    <x:row r="51" ht="30" customHeight="1">
      <x:c r="A51" s="39" t="str">
        <x:v>U13-A</x:v>
      </x:c>
      <x:c r="B51" s="39" t="n">
        <x:v>92</x:v>
      </x:c>
      <x:c r="C51" s="39" t="str">
        <x:v>RESET_L</x:v>
      </x:c>
      <x:c r="D51" s="39" t="str">
        <x:v>V42</x:v>
      </x:c>
      <x:c r="E51" s="39" t="str">
        <x:v>NPOR</x:v>
      </x:c>
      <x:c r="F51" s="39" t="str"/>
      <x:c r="G51" s="39" t="str"/>
      <x:c r="H51" s="39" t="str"/>
      <x:c r="I51" s="39" t="str"/>
      <x:c r="J51" s="39" t="str"/>
      <x:c r="K51" s="39" t="str"/>
      <x:c r="L51" s="39" t="str"/>
      <x:c r="M51" s="39" t="str"/>
      <x:c r="N51" s="39" t="str"/>
      <x:c r="O51" s="39" t="str"/>
      <x:c r="P51" s="39" t="str">
        <x:v>SVC-092</x:v>
      </x:c>
      <x:c r="Q51" s="39" t="str">
        <x:v>https://dl.radxa.com/cm5/v2210/radxa_cm5_v2210_pinout.xlsx</x:v>
      </x:c>
    </x:row>
    <x:row r="52" ht="30" customHeight="1">
      <x:c r="A52" s="39" t="str">
        <x:v>U13-A</x:v>
      </x:c>
      <x:c r="B52" s="39" t="n">
        <x:v>93</x:v>
      </x:c>
      <x:c r="C52" s="39" t="str">
        <x:v>SARADC_VIN0_BOOT</x:v>
      </x:c>
      <x:c r="D52" s="39" t="str">
        <x:v>AW15</x:v>
      </x:c>
      <x:c r="E52" s="39" t="str">
        <x:v>SARADC_IN0_BOOT</x:v>
      </x:c>
      <x:c r="F52" s="39" t="str"/>
      <x:c r="G52" s="39" t="str"/>
      <x:c r="H52" s="39" t="str"/>
      <x:c r="I52" s="39" t="str"/>
      <x:c r="J52" s="39" t="str"/>
      <x:c r="K52" s="39" t="str"/>
      <x:c r="L52" s="39" t="str"/>
      <x:c r="M52" s="39" t="str"/>
      <x:c r="N52" s="39" t="str"/>
      <x:c r="O52" s="39" t="str"/>
      <x:c r="P52" s="39" t="str">
        <x:v>SVC-093</x:v>
      </x:c>
      <x:c r="Q52" s="39" t="str">
        <x:v>https://dl.radxa.com/cm5/v2210/radxa_cm5_v2210_pinout.xlsx</x:v>
      </x:c>
    </x:row>
    <x:row r="53" ht="30" customHeight="1">
      <x:c r="A53" s="39" t="str">
        <x:v>U13-A</x:v>
      </x:c>
      <x:c r="B53" s="39" t="n">
        <x:v>99</x:v>
      </x:c>
      <x:c r="C53" s="39" t="str">
        <x:v>PWRON_L</x:v>
      </x:c>
      <x:c r="D53" s="39" t="str">
        <x:v>-</x:v>
      </x:c>
      <x:c r="E53" s="39" t="str">
        <x:v>414</x:v>
      </x:c>
      <x:c r="F53" s="39" t="str">
        <x:v>414</x:v>
      </x:c>
      <x:c r="G53" s="39" t="str">
        <x:v>414</x:v>
      </x:c>
      <x:c r="H53" s="39" t="str">
        <x:v>414</x:v>
      </x:c>
      <x:c r="I53" s="39" t="str">
        <x:v>414</x:v>
      </x:c>
      <x:c r="J53" s="39" t="str">
        <x:v>414</x:v>
      </x:c>
      <x:c r="K53" s="39" t="str">
        <x:v>414</x:v>
      </x:c>
      <x:c r="L53" s="39" t="str">
        <x:v>414</x:v>
      </x:c>
      <x:c r="M53" s="39" t="str">
        <x:v>414</x:v>
      </x:c>
      <x:c r="N53" s="39" t="str">
        <x:v>414</x:v>
      </x:c>
      <x:c r="O53" s="39" t="str"/>
      <x:c r="P53" s="39" t="str">
        <x:v>SVC-099</x:v>
      </x:c>
      <x:c r="Q53" s="39" t="str">
        <x:v>https://dl.radxa.com/cm5/v2210/radxa_cm5_v2210_pinout.xlsx</x:v>
      </x:c>
    </x:row>
    <x:row r="54" ht="30" customHeight="1">
      <x:c r="A54" s="39" t="str">
        <x:v>U13-A</x:v>
      </x:c>
      <x:c r="B54" s="39" t="n">
        <x:v>100</x:v>
      </x:c>
      <x:c r="C54" s="39" t="str">
        <x:v>SPIO_MISO_M1</x:v>
      </x:c>
      <x:c r="D54" s="39" t="str">
        <x:v>AV19</x:v>
      </x:c>
      <x:c r="E54" s="39" t="str">
        <x:v>CIF_D0</x:v>
      </x:c>
      <x:c r="F54" s="39" t="str">
        <x:v>BT1120_D0</x:v>
      </x:c>
      <x:c r="G54" s="39" t="str">
        <x:v>I2S1_MCLK_M0</x:v>
      </x:c>
      <x:c r="H54" s="39" t="str">
        <x:v>PCIE20X1_1_CLKREQN_M1</x:v>
      </x:c>
      <x:c r="I54" s="39" t="str">
        <x:v>UART9_RTSN_M1</x:v>
      </x:c>
      <x:c r="J54" s="39" t="str">
        <x:v>SPI0_MISO_M1</x:v>
      </x:c>
      <x:c r="K54" s="39" t="str">
        <x:v>GPIO4_A0_d</x:v>
      </x:c>
      <x:c r="L54" s="39" t="str"/>
      <x:c r="M54" s="39" t="str"/>
      <x:c r="N54" s="39" t="str"/>
      <x:c r="O54" s="39" t="str"/>
      <x:c r="P54" s="39" t="str">
        <x:v>HS-100</x:v>
      </x:c>
      <x:c r="Q54" s="39" t="str">
        <x:v>https://dl.radxa.com/cm5/v2210/radxa_cm5_v2210_pinout.xlsx</x:v>
      </x:c>
    </x:row>
    <x:row r="55" ht="30" customHeight="1">
      <x:c r="A55" s="39" t="str">
        <x:v>U13-B</x:v>
      </x:c>
      <x:c r="B55" s="39" t="n">
        <x:v>101</x:v>
      </x:c>
      <x:c r="C55" s="39" t="str">
        <x:v>TYPEC0_USB20_OTG_ID</x:v>
      </x:c>
      <x:c r="D55" s="39" t="str">
        <x:v>AW10</x:v>
      </x:c>
      <x:c r="E55" s="39" t="str">
        <x:v>TYPEC0_USB20_OTG_ID</x:v>
      </x:c>
      <x:c r="F55" s="39" t="str"/>
      <x:c r="G55" s="39" t="str"/>
      <x:c r="H55" s="39" t="str"/>
      <x:c r="I55" s="39" t="str"/>
      <x:c r="J55" s="39" t="str"/>
      <x:c r="K55" s="39" t="str"/>
      <x:c r="L55" s="39" t="str"/>
      <x:c r="M55" s="39" t="str"/>
      <x:c r="N55" s="39" t="str"/>
      <x:c r="O55" s="39" t="str"/>
      <x:c r="P55" s="39" t="str">
        <x:v>USB-R-101</x:v>
      </x:c>
      <x:c r="Q55" s="39" t="str">
        <x:v>https://dl.radxa.com/cm5/v2210/radxa_cm5_v2210_pinout.xlsx</x:v>
      </x:c>
    </x:row>
    <x:row r="56" ht="30" customHeight="1">
      <x:c r="A56" s="39" t="str">
        <x:v>U13-B</x:v>
      </x:c>
      <x:c r="B56" s="39" t="n">
        <x:v>102</x:v>
      </x:c>
      <x:c r="C56" s="39" t="str">
        <x:v>PCIE20X1_2_CLKREQN_M0</x:v>
      </x:c>
      <x:c r="D56" s="39" t="str">
        <x:v>AU30</x:v>
      </x:c>
      <x:c r="E56" s="39" t="str">
        <x:v>CIF_D11</x:v>
      </x:c>
      <x:c r="F56" s="39" t="str">
        <x:v>PCIE20X1_2_CLKREQN_M0</x:v>
      </x:c>
      <x:c r="G56" s="39" t="str">
        <x:v>HDMI_TX0_SCL_M2</x:v>
      </x:c>
      <x:c r="H56" s="39" t="str">
        <x:v>I2C5_SCL_M0</x:v>
      </x:c>
      <x:c r="I56" s="39" t="str">
        <x:v>SPI3_MOSI_M3</x:v>
      </x:c>
      <x:c r="J56" s="39" t="str">
        <x:v>GPIO3_C7_u</x:v>
      </x:c>
      <x:c r="K56" s="39" t="str"/>
      <x:c r="L56" s="39" t="str"/>
      <x:c r="M56" s="39" t="str"/>
      <x:c r="N56" s="39" t="str"/>
      <x:c r="O56" s="39" t="str"/>
      <x:c r="P56" s="39" t="str">
        <x:v>PCIE-102</x:v>
      </x:c>
      <x:c r="Q56" s="39" t="str">
        <x:v>https://dl.radxa.com/cm5/v2210/radxa_cm5_v2210_pinout.xlsx</x:v>
      </x:c>
    </x:row>
    <x:row r="57" ht="30" customHeight="1">
      <x:c r="A57" s="39" t="str">
        <x:v>U13-B</x:v>
      </x:c>
      <x:c r="B57" s="39" t="n">
        <x:v>103</x:v>
      </x:c>
      <x:c r="C57" s="39" t="str">
        <x:v>TYPEC0_OTG_DM</x:v>
      </x:c>
      <x:c r="D57" s="39" t="str">
        <x:v>AY10</x:v>
      </x:c>
      <x:c r="E57" s="39" t="str">
        <x:v>TYPEC0_USB20_OTG_DM</x:v>
      </x:c>
      <x:c r="F57" s="39" t="str"/>
      <x:c r="G57" s="39" t="str"/>
      <x:c r="H57" s="39" t="str"/>
      <x:c r="I57" s="39" t="str"/>
      <x:c r="J57" s="39" t="str"/>
      <x:c r="K57" s="39" t="str"/>
      <x:c r="L57" s="39" t="str"/>
      <x:c r="M57" s="39" t="str"/>
      <x:c r="N57" s="39" t="str"/>
      <x:c r="O57" s="39" t="str"/>
      <x:c r="P57" s="39" t="str">
        <x:v>USB-R-103</x:v>
      </x:c>
      <x:c r="Q57" s="39" t="str">
        <x:v>https://dl.radxa.com/cm5/v2210/radxa_cm5_v2210_pinout.xlsx</x:v>
      </x:c>
    </x:row>
    <x:row r="58" ht="30" customHeight="1">
      <x:c r="A58" s="39" t="str">
        <x:v>U13-B</x:v>
      </x:c>
      <x:c r="B58" s="39" t="n">
        <x:v>105</x:v>
      </x:c>
      <x:c r="C58" s="39" t="str">
        <x:v>TYPEC0_OTG_DP</x:v>
      </x:c>
      <x:c r="D58" s="39" t="str">
        <x:v>AY11</x:v>
      </x:c>
      <x:c r="E58" s="39" t="str">
        <x:v>TYPEC0_USB20_OTG_DP</x:v>
      </x:c>
      <x:c r="F58" s="39" t="str"/>
      <x:c r="G58" s="39" t="str"/>
      <x:c r="H58" s="39" t="str"/>
      <x:c r="I58" s="39" t="str"/>
      <x:c r="J58" s="39" t="str"/>
      <x:c r="K58" s="39" t="str"/>
      <x:c r="L58" s="39" t="str"/>
      <x:c r="M58" s="39" t="str"/>
      <x:c r="N58" s="39" t="str"/>
      <x:c r="O58" s="39" t="str"/>
      <x:c r="P58" s="39" t="str">
        <x:v>USB-R-105</x:v>
      </x:c>
      <x:c r="Q58" s="39" t="str">
        <x:v>https://dl.radxa.com/cm5/v2210/radxa_cm5_v2210_pinout.xlsx</x:v>
      </x:c>
    </x:row>
    <x:row r="59" ht="30" customHeight="1">
      <x:c r="A59" s="39" t="str">
        <x:v>U13-B</x:v>
      </x:c>
      <x:c r="B59" s="39" t="n">
        <x:v>106</x:v>
      </x:c>
      <x:c r="C59" s="39" t="str">
        <x:v>5V_HDMI</x:v>
      </x:c>
      <x:c r="D59" s="39" t="str">
        <x:v>-</x:v>
      </x:c>
      <x:c r="E59" s="39" t="str"/>
      <x:c r="F59" s="39" t="str"/>
      <x:c r="G59" s="39" t="str"/>
      <x:c r="H59" s="39" t="str"/>
      <x:c r="I59" s="39" t="str"/>
      <x:c r="J59" s="39" t="str"/>
      <x:c r="K59" s="39" t="str"/>
      <x:c r="L59" s="39" t="str"/>
      <x:c r="M59" s="39" t="str"/>
      <x:c r="N59" s="39" t="str"/>
      <x:c r="O59" s="39" t="str">
        <x:v>If VCC_SYSIN provides 5V input, this pin can be No Connect; if VCC_SYSIN provides less than 5V, this pin needs to provide 5v from the IO board to the Radxa CM5 .</x:v>
      </x:c>
      <x:c r="P59" s="39" t="str">
        <x:v>PWR-106</x:v>
      </x:c>
      <x:c r="Q59" s="39" t="str">
        <x:v>https://dl.radxa.com/cm5/v2210/radxa_cm5_v2210_pinout.xlsx</x:v>
      </x:c>
    </x:row>
    <x:row r="60" ht="30" customHeight="1">
      <x:c r="A60" s="39" t="str">
        <x:v>U13-B</x:v>
      </x:c>
      <x:c r="B60" s="39" t="n">
        <x:v>109</x:v>
      </x:c>
      <x:c r="C60" s="39" t="str">
        <x:v>PCIE20X1_2_PERSTN_M0</x:v>
      </x:c>
      <x:c r="D60" s="39" t="str">
        <x:v>AY27</x:v>
      </x:c>
      <x:c r="E60" s="39" t="str">
        <x:v>CIF_D13</x:v>
      </x:c>
      <x:c r="F60" s="39" t="str">
        <x:v>PCIE20X1_2_PERSTN_M0</x:v>
      </x:c>
      <x:c r="G60" s="39" t="str">
        <x:v>UART4_TX_M1</x:v>
      </x:c>
      <x:c r="H60" s="39" t="str">
        <x:v>PWM9_M2</x:v>
      </x:c>
      <x:c r="I60" s="39" t="str">
        <x:v>SPI0_MISO_M3</x:v>
      </x:c>
      <x:c r="J60" s="39" t="str">
        <x:v>GPIO3_D1_d</x:v>
      </x:c>
      <x:c r="K60" s="39" t="str"/>
      <x:c r="L60" s="39" t="str"/>
      <x:c r="M60" s="39" t="str"/>
      <x:c r="N60" s="39" t="str"/>
      <x:c r="O60" s="39" t="str"/>
      <x:c r="P60" s="39" t="str">
        <x:v>PCIE-109</x:v>
      </x:c>
      <x:c r="Q60" s="39" t="str">
        <x:v>https://dl.radxa.com/cm5/v2210/radxa_cm5_v2210_pinout.xlsx</x:v>
      </x:c>
    </x:row>
    <x:row r="61" ht="30" customHeight="1">
      <x:c r="A61" s="39" t="str">
        <x:v>U13-B</x:v>
      </x:c>
      <x:c r="B61" s="39" t="n">
        <x:v>110</x:v>
      </x:c>
      <x:c r="C61" s="39" t="str">
        <x:v>PCIE20_0_REFCLKP</x:v>
      </x:c>
      <x:c r="D61" s="39" t="str">
        <x:v>L42</x:v>
      </x:c>
      <x:c r="E61" s="39" t="str">
        <x:v>PCIE20_0_REFCLKP</x:v>
      </x:c>
      <x:c r="F61" s="39" t="str"/>
      <x:c r="G61" s="39" t="str"/>
      <x:c r="H61" s="39" t="str"/>
      <x:c r="I61" s="39" t="str"/>
      <x:c r="J61" s="39" t="str"/>
      <x:c r="K61" s="39" t="str"/>
      <x:c r="L61" s="39" t="str"/>
      <x:c r="M61" s="39" t="str"/>
      <x:c r="N61" s="39" t="str"/>
      <x:c r="O61" s="39" t="str"/>
      <x:c r="P61" s="39" t="str">
        <x:v>PCIE-110</x:v>
      </x:c>
      <x:c r="Q61" s="39" t="str">
        <x:v>https://dl.radxa.com/cm5/v2210/radxa_cm5_v2210_pinout.xlsx</x:v>
      </x:c>
    </x:row>
    <x:row r="62" ht="30" customHeight="1">
      <x:c r="A62" s="39" t="str">
        <x:v>U13-B</x:v>
      </x:c>
      <x:c r="B62" s="39" t="n">
        <x:v>112</x:v>
      </x:c>
      <x:c r="C62" s="39" t="str">
        <x:v>PCIE20_0_REFCLKN</x:v>
      </x:c>
      <x:c r="D62" s="39" t="str">
        <x:v>K41</x:v>
      </x:c>
      <x:c r="E62" s="39" t="str">
        <x:v>PCIE20_0_REFCLKN</x:v>
      </x:c>
      <x:c r="F62" s="39" t="str"/>
      <x:c r="G62" s="39" t="str"/>
      <x:c r="H62" s="39" t="str"/>
      <x:c r="I62" s="39" t="str"/>
      <x:c r="J62" s="39" t="str"/>
      <x:c r="K62" s="39" t="str"/>
      <x:c r="L62" s="39" t="str"/>
      <x:c r="M62" s="39" t="str"/>
      <x:c r="N62" s="39" t="str"/>
      <x:c r="O62" s="39" t="str"/>
      <x:c r="P62" s="39" t="str">
        <x:v>PCIE-112</x:v>
      </x:c>
      <x:c r="Q62" s="39" t="str">
        <x:v>https://dl.radxa.com/cm5/v2210/radxa_cm5_v2210_pinout.xlsx</x:v>
      </x:c>
    </x:row>
    <x:row r="63" ht="30" customHeight="1">
      <x:c r="A63" s="39" t="str">
        <x:v>U13-B</x:v>
      </x:c>
      <x:c r="B63" s="39" t="n">
        <x:v>116</x:v>
      </x:c>
      <x:c r="C63" s="39" t="str">
        <x:v>PCIE20_0_RXP</x:v>
      </x:c>
      <x:c r="D63" s="39" t="str">
        <x:v>J42</x:v>
      </x:c>
      <x:c r="E63" s="39" t="str">
        <x:v>PCIE20_0_RXP</x:v>
      </x:c>
      <x:c r="F63" s="39" t="str">
        <x:v>SATA30_0_RXP</x:v>
      </x:c>
      <x:c r="G63" s="39" t="str"/>
      <x:c r="H63" s="39" t="str"/>
      <x:c r="I63" s="39" t="str"/>
      <x:c r="J63" s="39" t="str"/>
      <x:c r="K63" s="39" t="str"/>
      <x:c r="L63" s="39" t="str"/>
      <x:c r="M63" s="39" t="str"/>
      <x:c r="N63" s="39" t="str"/>
      <x:c r="O63" s="39" t="str"/>
      <x:c r="P63" s="39" t="str">
        <x:v>PCIE-116</x:v>
      </x:c>
      <x:c r="Q63" s="39" t="str">
        <x:v>https://dl.radxa.com/cm5/v2210/radxa_cm5_v2210_pinout.xlsx</x:v>
      </x:c>
    </x:row>
    <x:row r="64" ht="30" customHeight="1">
      <x:c r="A64" s="39" t="str">
        <x:v>U13-B</x:v>
      </x:c>
      <x:c r="B64" s="39" t="n">
        <x:v>118</x:v>
      </x:c>
      <x:c r="C64" s="39" t="str">
        <x:v>PCIE20_0_RXN</x:v>
      </x:c>
      <x:c r="D64" s="39" t="str">
        <x:v>J41</x:v>
      </x:c>
      <x:c r="E64" s="39" t="str">
        <x:v>PCIE20_0_RXN</x:v>
      </x:c>
      <x:c r="F64" s="39" t="str">
        <x:v>SATA30_0_RXN</x:v>
      </x:c>
      <x:c r="G64" s="39" t="str"/>
      <x:c r="H64" s="39" t="str"/>
      <x:c r="I64" s="39" t="str"/>
      <x:c r="J64" s="39" t="str"/>
      <x:c r="K64" s="39" t="str"/>
      <x:c r="L64" s="39" t="str"/>
      <x:c r="M64" s="39" t="str"/>
      <x:c r="N64" s="39" t="str"/>
      <x:c r="O64" s="39" t="str"/>
      <x:c r="P64" s="39" t="str">
        <x:v>PCIE-118</x:v>
      </x:c>
      <x:c r="Q64" s="39" t="str">
        <x:v>https://dl.radxa.com/cm5/v2210/radxa_cm5_v2210_pinout.xlsx</x:v>
      </x:c>
    </x:row>
    <x:row r="65" ht="30" customHeight="1">
      <x:c r="A65" s="39" t="str">
        <x:v>U13-B</x:v>
      </x:c>
      <x:c r="B65" s="39" t="n">
        <x:v>122</x:v>
      </x:c>
      <x:c r="C65" s="39" t="str">
        <x:v>PCIE20_0_TXP</x:v>
      </x:c>
      <x:c r="D65" s="39" t="str">
        <x:v>H41</x:v>
      </x:c>
      <x:c r="E65" s="39" t="str">
        <x:v>PCIE20_0_TXP</x:v>
      </x:c>
      <x:c r="F65" s="39" t="str">
        <x:v>SATA30_0_TXP</x:v>
      </x:c>
      <x:c r="G65" s="39" t="str"/>
      <x:c r="H65" s="39" t="str"/>
      <x:c r="I65" s="39" t="str"/>
      <x:c r="J65" s="39" t="str"/>
      <x:c r="K65" s="39" t="str"/>
      <x:c r="L65" s="39" t="str"/>
      <x:c r="M65" s="39" t="str"/>
      <x:c r="N65" s="39" t="str"/>
      <x:c r="O65" s="39" t="str"/>
      <x:c r="P65" s="39" t="str">
        <x:v>PCIE-122</x:v>
      </x:c>
      <x:c r="Q65" s="39" t="str">
        <x:v>https://dl.radxa.com/cm5/v2210/radxa_cm5_v2210_pinout.xlsx</x:v>
      </x:c>
    </x:row>
    <x:row r="66" ht="30" customHeight="1">
      <x:c r="A66" s="39" t="str">
        <x:v>U13-B</x:v>
      </x:c>
      <x:c r="B66" s="39" t="n">
        <x:v>124</x:v>
      </x:c>
      <x:c r="C66" s="39" t="str">
        <x:v>PCIE20_0_TXN</x:v>
      </x:c>
      <x:c r="D66" s="39" t="str">
        <x:v>H42</x:v>
      </x:c>
      <x:c r="E66" s="39" t="str">
        <x:v>PCIE20_0_TXN</x:v>
      </x:c>
      <x:c r="F66" s="39" t="str">
        <x:v>SATA30_0_TXN</x:v>
      </x:c>
      <x:c r="G66" s="39" t="str"/>
      <x:c r="H66" s="39" t="str"/>
      <x:c r="I66" s="39" t="str"/>
      <x:c r="J66" s="39" t="str"/>
      <x:c r="K66" s="39" t="str"/>
      <x:c r="L66" s="39" t="str"/>
      <x:c r="M66" s="39" t="str"/>
      <x:c r="N66" s="39" t="str"/>
      <x:c r="O66" s="39" t="str"/>
      <x:c r="P66" s="39" t="str">
        <x:v>PCIE-124</x:v>
      </x:c>
      <x:c r="Q66" s="39" t="str">
        <x:v>https://dl.radxa.com/cm5/v2210/radxa_cm5_v2210_pinout.xlsx</x:v>
      </x:c>
    </x:row>
    <x:row r="67" ht="30" customHeight="1">
      <x:c r="A67" s="39" t="str">
        <x:v>U13-B</x:v>
      </x:c>
      <x:c r="B67" s="39" t="n">
        <x:v>145</x:v>
      </x:c>
      <x:c r="C67" s="39" t="str">
        <x:v>HDMI0_TX_SBDP</x:v>
      </x:c>
      <x:c r="D67" s="39" t="str">
        <x:v>BA1</x:v>
      </x:c>
      <x:c r="E67" s="39" t="str">
        <x:v>HDMI_TX0_SBDP</x:v>
      </x:c>
      <x:c r="F67" s="39" t="str">
        <x:v>EDP_TX0_AUXP</x:v>
      </x:c>
      <x:c r="G67" s="39" t="str"/>
      <x:c r="H67" s="39" t="str"/>
      <x:c r="I67" s="39" t="str"/>
      <x:c r="J67" s="39" t="str"/>
      <x:c r="K67" s="39" t="str"/>
      <x:c r="L67" s="39" t="str"/>
      <x:c r="M67" s="39" t="str"/>
      <x:c r="N67" s="39" t="str"/>
      <x:c r="O67" s="39" t="str"/>
      <x:c r="P67" s="39" t="str">
        <x:v>HDMI-145</x:v>
      </x:c>
      <x:c r="Q67" s="39" t="str">
        <x:v>https://dl.radxa.com/cm5/v2210/radxa_cm5_v2210_pinout.xlsx</x:v>
      </x:c>
    </x:row>
    <x:row r="68" ht="30" customHeight="1">
      <x:c r="A68" s="39" t="str">
        <x:v>U13-B</x:v>
      </x:c>
      <x:c r="B68" s="39" t="n">
        <x:v>147</x:v>
      </x:c>
      <x:c r="C68" s="39" t="str">
        <x:v>HDMI0_TX_SBDN</x:v>
      </x:c>
      <x:c r="D68" s="39" t="str">
        <x:v>AY1</x:v>
      </x:c>
      <x:c r="E68" s="39" t="str">
        <x:v>HDMI_TX0_SBDN</x:v>
      </x:c>
      <x:c r="F68" s="39" t="str">
        <x:v>EDP_TX0_AUXN</x:v>
      </x:c>
      <x:c r="G68" s="39" t="str"/>
      <x:c r="H68" s="39" t="str"/>
      <x:c r="I68" s="39" t="str"/>
      <x:c r="J68" s="39" t="str"/>
      <x:c r="K68" s="39" t="str"/>
      <x:c r="L68" s="39" t="str"/>
      <x:c r="M68" s="39" t="str"/>
      <x:c r="N68" s="39" t="str"/>
      <x:c r="O68" s="39" t="str"/>
      <x:c r="P68" s="39" t="str">
        <x:v>HDMI-147</x:v>
      </x:c>
      <x:c r="Q68" s="39" t="str">
        <x:v>https://dl.radxa.com/cm5/v2210/radxa_cm5_v2210_pinout.xlsx</x:v>
      </x:c>
    </x:row>
    <x:row r="69" ht="30" customHeight="1">
      <x:c r="A69" s="39" t="str">
        <x:v>U13-B</x:v>
      </x:c>
      <x:c r="B69" s="39" t="n">
        <x:v>151</x:v>
      </x:c>
      <x:c r="C69" s="39" t="str">
        <x:v>HDMI_TX0_CEC_PORT</x:v>
      </x:c>
      <x:c r="D69" s="39" t="str">
        <x:v>AY26</x:v>
      </x:c>
      <x:c r="E69" s="39" t="str">
        <x:v>BT1120_D15</x:v>
      </x:c>
      <x:c r="F69" s="39" t="str">
        <x:v>SPDIF1_TX_M2</x:v>
      </x:c>
      <x:c r="G69" s="39" t="str">
        <x:v>PCIE20X1_2_PERSTN_M1</x:v>
      </x:c>
      <x:c r="H69" s="39" t="str">
        <x:v>HDMI_TX0_CEC_M0</x:v>
      </x:c>
      <x:c r="I69" s="39" t="str">
        <x:v>I2C8_SDA_M3</x:v>
      </x:c>
      <x:c r="J69" s="39" t="str">
        <x:v>PWM6_M1</x:v>
      </x:c>
      <x:c r="K69" s="39" t="str">
        <x:v>SPI3_CS1_M1</x:v>
      </x:c>
      <x:c r="L69" s="39" t="str">
        <x:v>GPIO4_C1_d</x:v>
      </x:c>
      <x:c r="M69" s="39" t="str"/>
      <x:c r="N69" s="39" t="str"/>
      <x:c r="O69" s="39" t="str"/>
      <x:c r="P69" s="39" t="str">
        <x:v>HDMI-151</x:v>
      </x:c>
      <x:c r="Q69" s="39" t="str">
        <x:v>https://dl.radxa.com/cm5/v2210/radxa_cm5_v2210_pinout.xlsx</x:v>
      </x:c>
    </x:row>
    <x:row r="70" ht="30" customHeight="1">
      <x:c r="A70" s="39" t="str">
        <x:v>U13-B</x:v>
      </x:c>
      <x:c r="B70" s="39" t="n">
        <x:v>153</x:v>
      </x:c>
      <x:c r="C70" s="39" t="str">
        <x:v>HDMI_TX0_HPD</x:v>
      </x:c>
      <x:c r="D70" s="39" t="str">
        <x:v>M40</x:v>
      </x:c>
      <x:c r="E70" s="39" t="str">
        <x:v>HDMI_TX0_HPD_M0</x:v>
      </x:c>
      <x:c r="F70" s="39" t="str">
        <x:v>SPI2_MOSI_M0</x:v>
      </x:c>
      <x:c r="G70" s="39" t="str">
        <x:v>GPIO1_A5_d</x:v>
      </x:c>
      <x:c r="H70" s="39" t="str"/>
      <x:c r="I70" s="39" t="str"/>
      <x:c r="J70" s="39" t="str"/>
      <x:c r="K70" s="39" t="str"/>
      <x:c r="L70" s="39" t="str"/>
      <x:c r="M70" s="39" t="str"/>
      <x:c r="N70" s="39" t="str"/>
      <x:c r="O70" s="39" t="str"/>
      <x:c r="P70" s="39" t="str">
        <x:v>HDMI-153</x:v>
      </x:c>
      <x:c r="Q70" s="39" t="str">
        <x:v>https://dl.radxa.com/cm5/v2210/radxa_cm5_v2210_pinout.xlsx</x:v>
      </x:c>
    </x:row>
    <x:row r="71" ht="30" customHeight="1">
      <x:c r="A71" s="39" t="str">
        <x:v>U13-B</x:v>
      </x:c>
      <x:c r="B71" s="39" t="n">
        <x:v>170</x:v>
      </x:c>
      <x:c r="C71" s="39" t="str">
        <x:v>HDMI0_TX2P</x:v>
      </x:c>
      <x:c r="D71" s="39" t="str">
        <x:v>BB7</x:v>
      </x:c>
      <x:c r="E71" s="39" t="str">
        <x:v>HDMI_TX0_D2P</x:v>
      </x:c>
      <x:c r="F71" s="39" t="str">
        <x:v>EDP_TX0_D2P</x:v>
      </x:c>
      <x:c r="G71" s="39" t="str"/>
      <x:c r="H71" s="39" t="str"/>
      <x:c r="I71" s="39" t="str"/>
      <x:c r="J71" s="39" t="str"/>
      <x:c r="K71" s="39" t="str"/>
      <x:c r="L71" s="39" t="str"/>
      <x:c r="M71" s="39" t="str"/>
      <x:c r="N71" s="39" t="str"/>
      <x:c r="O71" s="39" t="str"/>
      <x:c r="P71" s="39" t="str">
        <x:v>HDMI-170</x:v>
      </x:c>
      <x:c r="Q71" s="39" t="str">
        <x:v>https://dl.radxa.com/cm5/v2210/radxa_cm5_v2210_pinout.xlsx</x:v>
      </x:c>
    </x:row>
    <x:row r="72" ht="30" customHeight="1">
      <x:c r="A72" s="39" t="str">
        <x:v>U13-B</x:v>
      </x:c>
      <x:c r="B72" s="39" t="n">
        <x:v>172</x:v>
      </x:c>
      <x:c r="C72" s="39" t="str">
        <x:v>HDMI0_TX2N</x:v>
      </x:c>
      <x:c r="D72" s="39" t="str">
        <x:v>BA7</x:v>
      </x:c>
      <x:c r="E72" s="39" t="str">
        <x:v>HDMI_TX0_D2N</x:v>
      </x:c>
      <x:c r="F72" s="39" t="str">
        <x:v>EDP_TX0_D2N</x:v>
      </x:c>
      <x:c r="G72" s="39" t="str"/>
      <x:c r="H72" s="39" t="str"/>
      <x:c r="I72" s="39" t="str"/>
      <x:c r="J72" s="39" t="str"/>
      <x:c r="K72" s="39" t="str"/>
      <x:c r="L72" s="39" t="str"/>
      <x:c r="M72" s="39" t="str"/>
      <x:c r="N72" s="39" t="str"/>
      <x:c r="O72" s="39" t="str"/>
      <x:c r="P72" s="39" t="str">
        <x:v>HDMI-172</x:v>
      </x:c>
      <x:c r="Q72" s="39" t="str">
        <x:v>https://dl.radxa.com/cm5/v2210/radxa_cm5_v2210_pinout.xlsx</x:v>
      </x:c>
    </x:row>
    <x:row r="73" ht="30" customHeight="1">
      <x:c r="A73" s="39" t="str">
        <x:v>U13-B</x:v>
      </x:c>
      <x:c r="B73" s="39" t="n">
        <x:v>176</x:v>
      </x:c>
      <x:c r="C73" s="39" t="str">
        <x:v>HDMI0_TX1P</x:v>
      </x:c>
      <x:c r="D73" s="39" t="str">
        <x:v>BA5</x:v>
      </x:c>
      <x:c r="E73" s="39" t="str">
        <x:v>HDMI_TX0_D1P</x:v>
      </x:c>
      <x:c r="F73" s="39" t="str">
        <x:v>EDP_TX0_D1P</x:v>
      </x:c>
      <x:c r="G73" s="39" t="str"/>
      <x:c r="H73" s="39" t="str"/>
      <x:c r="I73" s="39" t="str"/>
      <x:c r="J73" s="39" t="str"/>
      <x:c r="K73" s="39" t="str"/>
      <x:c r="L73" s="39" t="str"/>
      <x:c r="M73" s="39" t="str"/>
      <x:c r="N73" s="39" t="str"/>
      <x:c r="O73" s="39" t="str"/>
      <x:c r="P73" s="39" t="str">
        <x:v>HDMI-176</x:v>
      </x:c>
      <x:c r="Q73" s="39" t="str">
        <x:v>https://dl.radxa.com/cm5/v2210/radxa_cm5_v2210_pinout.xlsx</x:v>
      </x:c>
    </x:row>
    <x:row r="74" ht="30" customHeight="1">
      <x:c r="A74" s="39" t="str">
        <x:v>U13-B</x:v>
      </x:c>
      <x:c r="B74" s="39" t="n">
        <x:v>178</x:v>
      </x:c>
      <x:c r="C74" s="39" t="str">
        <x:v>HDMI0_TX1N</x:v>
      </x:c>
      <x:c r="D74" s="39" t="str">
        <x:v>BB5</x:v>
      </x:c>
      <x:c r="E74" s="39" t="str">
        <x:v>HDMI_TX0_D1N</x:v>
      </x:c>
      <x:c r="F74" s="39" t="str">
        <x:v>EDP_TX0_D1N</x:v>
      </x:c>
      <x:c r="G74" s="39" t="str"/>
      <x:c r="H74" s="39" t="str"/>
      <x:c r="I74" s="39" t="str"/>
      <x:c r="J74" s="39" t="str"/>
      <x:c r="K74" s="39" t="str"/>
      <x:c r="L74" s="39" t="str"/>
      <x:c r="M74" s="39" t="str"/>
      <x:c r="N74" s="39" t="str"/>
      <x:c r="O74" s="39" t="str"/>
      <x:c r="P74" s="39" t="str">
        <x:v>HDMI-178</x:v>
      </x:c>
      <x:c r="Q74" s="39" t="str">
        <x:v>https://dl.radxa.com/cm5/v2210/radxa_cm5_v2210_pinout.xlsx</x:v>
      </x:c>
    </x:row>
    <x:row r="75" ht="30" customHeight="1">
      <x:c r="A75" s="39" t="str">
        <x:v>U13-B</x:v>
      </x:c>
      <x:c r="B75" s="39" t="n">
        <x:v>182</x:v>
      </x:c>
      <x:c r="C75" s="39" t="str">
        <x:v>HDMI0_TX0P</x:v>
      </x:c>
      <x:c r="D75" s="39" t="str">
        <x:v>BB4</x:v>
      </x:c>
      <x:c r="E75" s="39" t="str">
        <x:v>HDMI_TX0_D0P</x:v>
      </x:c>
      <x:c r="F75" s="39" t="str">
        <x:v>EDP_TX0_D0P</x:v>
      </x:c>
      <x:c r="G75" s="39" t="str"/>
      <x:c r="H75" s="39" t="str"/>
      <x:c r="I75" s="39" t="str"/>
      <x:c r="J75" s="39" t="str"/>
      <x:c r="K75" s="39" t="str"/>
      <x:c r="L75" s="39" t="str"/>
      <x:c r="M75" s="39" t="str"/>
      <x:c r="N75" s="39" t="str"/>
      <x:c r="O75" s="39" t="str"/>
      <x:c r="P75" s="39" t="str">
        <x:v>HDMI-182</x:v>
      </x:c>
      <x:c r="Q75" s="39" t="str">
        <x:v>https://dl.radxa.com/cm5/v2210/radxa_cm5_v2210_pinout.xlsx</x:v>
      </x:c>
    </x:row>
    <x:row r="76" ht="30" customHeight="1">
      <x:c r="A76" s="39" t="str">
        <x:v>U13-B</x:v>
      </x:c>
      <x:c r="B76" s="39" t="n">
        <x:v>184</x:v>
      </x:c>
      <x:c r="C76" s="39" t="str">
        <x:v>HDMI0_TX0N</x:v>
      </x:c>
      <x:c r="D76" s="39" t="str">
        <x:v>BA4</x:v>
      </x:c>
      <x:c r="E76" s="39" t="str">
        <x:v>HDMI_TX0_D0N</x:v>
      </x:c>
      <x:c r="F76" s="39" t="str">
        <x:v>EDP_TX0_D0N</x:v>
      </x:c>
      <x:c r="G76" s="39" t="str"/>
      <x:c r="H76" s="39" t="str"/>
      <x:c r="I76" s="39" t="str"/>
      <x:c r="J76" s="39" t="str"/>
      <x:c r="K76" s="39" t="str"/>
      <x:c r="L76" s="39" t="str"/>
      <x:c r="M76" s="39" t="str"/>
      <x:c r="N76" s="39" t="str"/>
      <x:c r="O76" s="39" t="str"/>
      <x:c r="P76" s="39" t="str">
        <x:v>HDMI-184</x:v>
      </x:c>
      <x:c r="Q76" s="39" t="str">
        <x:v>https://dl.radxa.com/cm5/v2210/radxa_cm5_v2210_pinout.xlsx</x:v>
      </x:c>
    </x:row>
    <x:row r="77" ht="30" customHeight="1">
      <x:c r="A77" s="39" t="str">
        <x:v>U13-B</x:v>
      </x:c>
      <x:c r="B77" s="39" t="n">
        <x:v>188</x:v>
      </x:c>
      <x:c r="C77" s="39" t="str">
        <x:v>HDMI0_TX3P</x:v>
      </x:c>
      <x:c r="D77" s="39" t="str">
        <x:v>BA2</x:v>
      </x:c>
      <x:c r="E77" s="39" t="str">
        <x:v>HDMI_TX0_D3P</x:v>
      </x:c>
      <x:c r="F77" s="39" t="str">
        <x:v>EDP_TX0_D3P</x:v>
      </x:c>
      <x:c r="G77" s="39" t="str"/>
      <x:c r="H77" s="39" t="str"/>
      <x:c r="I77" s="39" t="str"/>
      <x:c r="J77" s="39" t="str"/>
      <x:c r="K77" s="39" t="str"/>
      <x:c r="L77" s="39" t="str"/>
      <x:c r="M77" s="39" t="str"/>
      <x:c r="N77" s="39" t="str"/>
      <x:c r="O77" s="39" t="str"/>
      <x:c r="P77" s="39" t="str">
        <x:v>HDMI-188</x:v>
      </x:c>
      <x:c r="Q77" s="39" t="str">
        <x:v>https://dl.radxa.com/cm5/v2210/radxa_cm5_v2210_pinout.xlsx</x:v>
      </x:c>
    </x:row>
    <x:row r="78" ht="30" customHeight="1">
      <x:c r="A78" s="39" t="str">
        <x:v>U13-B</x:v>
      </x:c>
      <x:c r="B78" s="39" t="n">
        <x:v>190</x:v>
      </x:c>
      <x:c r="C78" s="39" t="str">
        <x:v>HDMI0_TX3N</x:v>
      </x:c>
      <x:c r="D78" s="39" t="str">
        <x:v>BB2</x:v>
      </x:c>
      <x:c r="E78" s="39" t="str">
        <x:v>HDMI_TX0_D3N</x:v>
      </x:c>
      <x:c r="F78" s="39" t="str">
        <x:v>EDP_TX0_D3N</x:v>
      </x:c>
      <x:c r="G78" s="39" t="str"/>
      <x:c r="H78" s="39" t="str"/>
      <x:c r="I78" s="39" t="str"/>
      <x:c r="J78" s="39" t="str"/>
      <x:c r="K78" s="39" t="str"/>
      <x:c r="L78" s="39" t="str"/>
      <x:c r="M78" s="39" t="str"/>
      <x:c r="N78" s="39" t="str"/>
      <x:c r="O78" s="39" t="str"/>
      <x:c r="P78" s="39" t="str">
        <x:v>HDMI-190</x:v>
      </x:c>
      <x:c r="Q78" s="39" t="str">
        <x:v>https://dl.radxa.com/cm5/v2210/radxa_cm5_v2210_pinout.xlsx</x:v>
      </x:c>
    </x:row>
    <x:row r="79" ht="30" customHeight="1">
      <x:c r="A79" s="39" t="str">
        <x:v>U13-B</x:v>
      </x:c>
      <x:c r="B79" s="39" t="n">
        <x:v>199</x:v>
      </x:c>
      <x:c r="C79" s="39" t="str">
        <x:v>HDMI_TX0_SDA_5V</x:v>
      </x:c>
      <x:c r="D79" s="39" t="str">
        <x:v>AW23</x:v>
      </x:c>
      <x:c r="E79" s="39" t="str">
        <x:v>BT1120_D14</x:v>
      </x:c>
      <x:c r="F79" s="39" t="str">
        <x:v>PCIE20X1_2_WAKEN_M1</x:v>
      </x:c>
      <x:c r="G79" s="39" t="str">
        <x:v>HDMI_TX0_SDA_M0</x:v>
      </x:c>
      <x:c r="H79" s="39" t="str">
        <x:v>I2C8_SCL_M3</x:v>
      </x:c>
      <x:c r="I79" s="39" t="str">
        <x:v>SPI3_CS0_M1</x:v>
      </x:c>
      <x:c r="J79" s="39" t="str">
        <x:v>GPIO4_C0_u</x:v>
      </x:c>
      <x:c r="K79" s="39" t="str"/>
      <x:c r="L79" s="39" t="str"/>
      <x:c r="M79" s="39" t="str"/>
      <x:c r="N79" s="39" t="str"/>
      <x:c r="O79" s="39" t="str"/>
      <x:c r="P79" s="39" t="str">
        <x:v>HDMI-199</x:v>
      </x:c>
      <x:c r="Q79" s="39" t="str">
        <x:v>https://dl.radxa.com/cm5/v2210/radxa_cm5_v2210_pinout.xlsx</x:v>
      </x:c>
    </x:row>
    <x:row r="80" ht="30" customHeight="1">
      <x:c r="A80" s="40" t="str">
        <x:v>U13-B</x:v>
      </x:c>
      <x:c r="B80" s="40" t="n">
        <x:v>200</x:v>
      </x:c>
      <x:c r="C80" s="40" t="str">
        <x:v>HDMI_TX0_SCL_5V</x:v>
      </x:c>
      <x:c r="D80" s="40" t="str">
        <x:v>AV22</x:v>
      </x:c>
      <x:c r="E80" s="40" t="str">
        <x:v>BT1120_D13</x:v>
      </x:c>
      <x:c r="F80" s="40" t="str">
        <x:v>PCIE20X1_2_CLKREQN_M1</x:v>
      </x:c>
      <x:c r="G80" s="40" t="str">
        <x:v>HDMI_TX0_SCL_M0</x:v>
      </x:c>
      <x:c r="H80" s="40" t="str">
        <x:v>I2C5_SDA_M1</x:v>
      </x:c>
      <x:c r="I80" s="40" t="str">
        <x:v>SPI3_CLK_M1</x:v>
      </x:c>
      <x:c r="J80" s="40" t="str">
        <x:v>GPIO4_B7_u</x:v>
      </x:c>
      <x:c r="K80" s="40" t="str"/>
      <x:c r="L80" s="40" t="str"/>
      <x:c r="M80" s="40" t="str"/>
      <x:c r="N80" s="40" t="str"/>
      <x:c r="O80" s="40" t="str"/>
      <x:c r="P80" s="40" t="str">
        <x:v>HDMI-200</x:v>
      </x:c>
      <x:c r="Q80" s="40" t="str">
        <x:v>https://dl.radxa.com/cm5/v2210/radxa_cm5_v2210_pinout.xlsx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7774702243754087"/>
  </x:tableParts>
</x:worksheet>
</file>